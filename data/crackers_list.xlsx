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bookViews>
    <workbookView xWindow="0" yWindow="0" windowWidth="23040" windowHeight="9072"/>
  </bookViews>
  <sheets>
    <sheet name="Crackers List" sheetId="2" r:id="rId1"/>
  </sheets>
  <definedNames>
    <definedName name="_xlnm._FilterDatabase" localSheetId="0" hidden="1">'Crackers List'!$A$1:$H$131</definedName>
  </definedNames>
  <calcPr calcId="162913"/>
</workbook>
</file>

<file path=xl/calcChain.xml><?xml version="1.0" encoding="utf-8"?>
<calcChain xmlns="http://schemas.openxmlformats.org/spreadsheetml/2006/main">
  <c r="F132" i="2" l="1"/>
  <c r="D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H132" i="2" s="1"/>
</calcChain>
</file>

<file path=xl/sharedStrings.xml><?xml version="1.0" encoding="utf-8"?>
<sst xmlns="http://schemas.openxmlformats.org/spreadsheetml/2006/main" count="459" uniqueCount="279">
  <si>
    <t>Category</t>
  </si>
  <si>
    <t>Gift Boxes</t>
  </si>
  <si>
    <t>Sky Shots</t>
  </si>
  <si>
    <t>Sparklers</t>
  </si>
  <si>
    <t>Ground Chakkars</t>
  </si>
  <si>
    <t>Flower Pots</t>
  </si>
  <si>
    <t>Rockets</t>
  </si>
  <si>
    <t>Sound Crackers</t>
  </si>
  <si>
    <t>Fancy Crackers</t>
  </si>
  <si>
    <t>Party Crackers</t>
  </si>
  <si>
    <t>Kids Special</t>
  </si>
  <si>
    <t>Garland Crackers</t>
  </si>
  <si>
    <t>Repeating Fountains</t>
  </si>
  <si>
    <t>Deluxe Premium</t>
  </si>
  <si>
    <t>S.No</t>
  </si>
  <si>
    <t>Tag</t>
  </si>
  <si>
    <t>Item Name</t>
  </si>
  <si>
    <t>Contents / Packing Details</t>
  </si>
  <si>
    <t>MRP (₹)</t>
  </si>
  <si>
    <t>Discount (%)</t>
  </si>
  <si>
    <t>Final Price (₹)</t>
  </si>
  <si>
    <t>New Arrival</t>
  </si>
  <si>
    <t>Maha Laksmi Gift Box</t>
  </si>
  <si>
    <t>Contains 45 items (Fountains, Chakkars, Sparklers, Bombs)</t>
  </si>
  <si>
    <t>Popular</t>
  </si>
  <si>
    <t>Radam &amp; Suba Diwali Box</t>
  </si>
  <si>
    <t>Contains 52 items (Assorted Family Pack)</t>
  </si>
  <si>
    <t>Mega Family Pack 24 Items</t>
  </si>
  <si>
    <t>Contains 24 items (Mixed Fireworks Combo)</t>
  </si>
  <si>
    <t>Bestseller</t>
  </si>
  <si>
    <t>Diwali Dhamaka Box</t>
  </si>
  <si>
    <t>Contains 35 items (Kids &amp; Adults Combined)</t>
  </si>
  <si>
    <t>Premium</t>
  </si>
  <si>
    <t>Royal Festive Box</t>
  </si>
  <si>
    <t>Contains 60 items (High-end Assortment)</t>
  </si>
  <si>
    <t>Kids Pack</t>
  </si>
  <si>
    <t>Mini Sparkle Gift Pack</t>
  </si>
  <si>
    <t>Contains 18 items (Light &amp; Sparkle Box)</t>
  </si>
  <si>
    <t>Supreme Gold Assortment</t>
  </si>
  <si>
    <t>Contains 75 items (VIP Mega Hamper)</t>
  </si>
  <si>
    <t>Celebration Jumbo Combo</t>
  </si>
  <si>
    <t>Contains 40 items (Variety Fireworks Box)</t>
  </si>
  <si>
    <t>Star Kids Gift Box</t>
  </si>
  <si>
    <t>Contains 30 items (No-Sound &amp; Light Items)</t>
  </si>
  <si>
    <t>Trending</t>
  </si>
  <si>
    <t>Deluxe Family Fireworks Box</t>
  </si>
  <si>
    <t>Contains 85 items (Complete Grand Celebration Box)</t>
  </si>
  <si>
    <t>7 Color Aerial Repeater</t>
  </si>
  <si>
    <t>1 Box (7 Aerial Shots)</t>
  </si>
  <si>
    <t>12 Multi Shots Aerial Shell</t>
  </si>
  <si>
    <t>1 Box (12 Multi-color Shots)</t>
  </si>
  <si>
    <t>30 Shots Sky Thunder</t>
  </si>
  <si>
    <t>1 Box (30 Sound &amp; Light Shots)</t>
  </si>
  <si>
    <t>60 Shots Symphony Night</t>
  </si>
  <si>
    <t>1 Box (60 High Altitude Shots)</t>
  </si>
  <si>
    <t>120 Shots Grand Celebration</t>
  </si>
  <si>
    <t>1 Box (120 Continuous Shots)</t>
  </si>
  <si>
    <t>Single Shot Green Comet</t>
  </si>
  <si>
    <t>1 Packet (10 Pieces)</t>
  </si>
  <si>
    <t>Single Shot Golden Willow</t>
  </si>
  <si>
    <t>24 Shots Crackling Stars</t>
  </si>
  <si>
    <t>1 Box (24 Crackling Shots)</t>
  </si>
  <si>
    <t>50 Shots Galaxy Display</t>
  </si>
  <si>
    <t>1 Box (50 Color Stars Shots)</t>
  </si>
  <si>
    <t>Deluxe</t>
  </si>
  <si>
    <t>200 Shots Mega Sky Display</t>
  </si>
  <si>
    <t>1 Box (200 Grand Pyro Shots)</t>
  </si>
  <si>
    <t>10 cm Electric Sparklers</t>
  </si>
  <si>
    <t>1 Box (10 Sparkler Sticks)</t>
  </si>
  <si>
    <t>12 cm Green Sparklers</t>
  </si>
  <si>
    <t>1 Box (10 Green Sticks)</t>
  </si>
  <si>
    <t>15 cm Red Sparklers</t>
  </si>
  <si>
    <t>1 Box (10 Red Sticks)</t>
  </si>
  <si>
    <t>30 cm Golden Sparklers</t>
  </si>
  <si>
    <t>1 Box (5 Long Sticks)</t>
  </si>
  <si>
    <t>50 cm Mega Long Sparklers</t>
  </si>
  <si>
    <t>1 Box (5 Jumbo Sticks)</t>
  </si>
  <si>
    <t>Color Changing Sparklers 15cm</t>
  </si>
  <si>
    <t>1 Box (10 Multi-color Sticks)</t>
  </si>
  <si>
    <t>Whistling Sparklers Pack</t>
  </si>
  <si>
    <t>1 Box (10 Sound Sticks)</t>
  </si>
  <si>
    <t>Crackling Silver Sparklers 30cm</t>
  </si>
  <si>
    <t>1 Box (5 Crackling Sticks)</t>
  </si>
  <si>
    <t>Multi Color Sparklers 50cm</t>
  </si>
  <si>
    <t>1 Box (5 Jumbo Multi Sticks)</t>
  </si>
  <si>
    <t>100 cm Giant Deluxe Sparklers</t>
  </si>
  <si>
    <t>1 Box (2 Giant Sticks)</t>
  </si>
  <si>
    <t>Ground Chakkar Special</t>
  </si>
  <si>
    <t>1 Box (10 Pieces)</t>
  </si>
  <si>
    <t>Ground Chakkar Deluxe</t>
  </si>
  <si>
    <t>Chakkar Asoka Red &amp; Green</t>
  </si>
  <si>
    <t>Big Wheel Chakkar</t>
  </si>
  <si>
    <t>1 Box (10 Large Pieces)</t>
  </si>
  <si>
    <t>Spinner Special (Plastic Wheel)</t>
  </si>
  <si>
    <t>1 Box (10 High Speed Spinners)</t>
  </si>
  <si>
    <t>Whistling Chakkar</t>
  </si>
  <si>
    <t>1 Box (5 Sound Spinners)</t>
  </si>
  <si>
    <t>5 In 1 Multi Color Chakkar</t>
  </si>
  <si>
    <t>1 Box (5 Multi-effect Spinners)</t>
  </si>
  <si>
    <t>Glittering Star Ground Chakkar</t>
  </si>
  <si>
    <t>1 Box (5 Glittering Wheels)</t>
  </si>
  <si>
    <t>Jumbo Disco Spinner</t>
  </si>
  <si>
    <t>1 Box (3 Jumbo Spinners)</t>
  </si>
  <si>
    <t>Super Sonic High Speed Chakkar</t>
  </si>
  <si>
    <t>1 Box (3 Deluxe Spinners)</t>
  </si>
  <si>
    <t>Flower Pot Small</t>
  </si>
  <si>
    <t>Flower Pot Big</t>
  </si>
  <si>
    <t>Flower Pot Special</t>
  </si>
  <si>
    <t>Flower Pot Giant</t>
  </si>
  <si>
    <t>Flower Pot Deluxe</t>
  </si>
  <si>
    <t>1 Box (5 Deluxe Pots)</t>
  </si>
  <si>
    <t>Color Changing Flower Pot</t>
  </si>
  <si>
    <t>1 Box (5 Multi-color Pots)</t>
  </si>
  <si>
    <t>Crackling Fountain Flower Pot</t>
  </si>
  <si>
    <t>1 Box (5 Crackling Pots)</t>
  </si>
  <si>
    <t>Tri-Color Fountain Flower Pot</t>
  </si>
  <si>
    <t>1 Box (5 Tri-Color Pots)</t>
  </si>
  <si>
    <t>Jumbo Golden Shower Fountain</t>
  </si>
  <si>
    <t>1 Box (2 Jumbo Pots)</t>
  </si>
  <si>
    <t>Mega Deluxe Royal Flower Pot</t>
  </si>
  <si>
    <t>1 Box (2 Royal Giant Pots)</t>
  </si>
  <si>
    <t>Baby Rocket</t>
  </si>
  <si>
    <t>1 Box (10 Mini Rockets)</t>
  </si>
  <si>
    <t>Bomb Rocket</t>
  </si>
  <si>
    <t>1 Box (10 Sound Rockets)</t>
  </si>
  <si>
    <t>Lunik Rocket</t>
  </si>
  <si>
    <t>1 Box (10 Lunik Rockets)</t>
  </si>
  <si>
    <t>Whistling Rocket</t>
  </si>
  <si>
    <t>3 Sound Rocket</t>
  </si>
  <si>
    <t>1 Box (10 Triple Sound Rockets)</t>
  </si>
  <si>
    <t>Parachute Rocket with Light</t>
  </si>
  <si>
    <t>1 Box (5 Parachute Rockets)</t>
  </si>
  <si>
    <t>Multi Color Burst Rocket</t>
  </si>
  <si>
    <t>1 Box (5 Color Burst Rockets)</t>
  </si>
  <si>
    <t>Silver Twister Rocket</t>
  </si>
  <si>
    <t>1 Box (5 Twister Rockets)</t>
  </si>
  <si>
    <t>Siren Rocket Deluxe</t>
  </si>
  <si>
    <t>1 Box (5 Siren Rockets)</t>
  </si>
  <si>
    <t>Space Shuttle Heavy Rocket</t>
  </si>
  <si>
    <t>1 Box (2 Heavy Shell Rockets)</t>
  </si>
  <si>
    <t>2 3/4 Inch Kuruvi Sound Crackers</t>
  </si>
  <si>
    <t>1 Packet (8 Pieces)</t>
  </si>
  <si>
    <t>3 1/2 Inch Lakshmi Crackers</t>
  </si>
  <si>
    <t>1 Packet (12 Pieces)</t>
  </si>
  <si>
    <t>4 Inch Deluxe Sound Crackers</t>
  </si>
  <si>
    <t>4 Inch Gold Sound Crackers</t>
  </si>
  <si>
    <t>Atom Bomb Green</t>
  </si>
  <si>
    <t>1 Box (10 Heavy Bombs)</t>
  </si>
  <si>
    <t>Hydro Bomb Heavy</t>
  </si>
  <si>
    <t>1 Box (10 Hydro Bombs)</t>
  </si>
  <si>
    <t>Classic Classic Classic Sound Bomb</t>
  </si>
  <si>
    <t>1 Box (10 Sound Bombs)</t>
  </si>
  <si>
    <t>Digital Bomb Extra Loud</t>
  </si>
  <si>
    <t>1 Box (10 Loud Bombs)</t>
  </si>
  <si>
    <t>Thunder Sound Bomb</t>
  </si>
  <si>
    <t>1 Box (5 Super Sound Bombs)</t>
  </si>
  <si>
    <t>King Size Mega Sound Bomb</t>
  </si>
  <si>
    <t>1 Box (5 King Bombs)</t>
  </si>
  <si>
    <t>Magic Butterfly</t>
  </si>
  <si>
    <t>1 Box (10 Flying Pieces)</t>
  </si>
  <si>
    <t>Dancing Peacock Fountain</t>
  </si>
  <si>
    <t>1 Box (5 Fountain Pieces)</t>
  </si>
  <si>
    <t>Golden Duck Water Fountain</t>
  </si>
  <si>
    <t>1 Box (5 Water Fountains)</t>
  </si>
  <si>
    <t>Siren Fountain 3 Stage</t>
  </si>
  <si>
    <t>1 Box (3 Stage Fountains)</t>
  </si>
  <si>
    <t>Helicopter Flying Toy</t>
  </si>
  <si>
    <t>1 Box (10 Flying Toys)</t>
  </si>
  <si>
    <t>Twinkling Star Shower</t>
  </si>
  <si>
    <t>1 Box (5 Star Shower Pieces)</t>
  </si>
  <si>
    <t>Magic Whip Sound</t>
  </si>
  <si>
    <t>1 Box (10 Whip Pieces)</t>
  </si>
  <si>
    <t>Color Smoke Grenade Pack</t>
  </si>
  <si>
    <t>1 Box (5 Smoke Cans)</t>
  </si>
  <si>
    <t>Musical Fountain Crackling</t>
  </si>
  <si>
    <t>1 Box (3 Musical Fountains)</t>
  </si>
  <si>
    <t>Dragon Tail Flash Light</t>
  </si>
  <si>
    <t>1 Box (2 Dragon Tail Fountains)</t>
  </si>
  <si>
    <t>Party Popper Metallic 30cm</t>
  </si>
  <si>
    <t>1 Piece (30cm Metallic Popper)</t>
  </si>
  <si>
    <t>Party Popper Confetti 50cm</t>
  </si>
  <si>
    <t>1 Piece (50cm Confetti Popper)</t>
  </si>
  <si>
    <t>Cold Pyro Fountain for Stage</t>
  </si>
  <si>
    <t>1 Box (4 Cold Pyro Fountains)</t>
  </si>
  <si>
    <t>Snow Spray Can 250ml</t>
  </si>
  <si>
    <t>1 Can (250ml Spray)</t>
  </si>
  <si>
    <t>Color Paper Cannon 60cm</t>
  </si>
  <si>
    <t>1 Piece (60cm Paper Cannon)</t>
  </si>
  <si>
    <t>Handheld Sparkler Gun</t>
  </si>
  <si>
    <t>1 Piece (Gun + 5 Refill Sparklers)</t>
  </si>
  <si>
    <t>Golden Party Streamers</t>
  </si>
  <si>
    <t>1 Box (10 Streamer Rolls)</t>
  </si>
  <si>
    <t>Indoor Pyro Fountain Non-Smoke</t>
  </si>
  <si>
    <t>1 Box (4 Indoor Fountains)</t>
  </si>
  <si>
    <t>LED Light Party Glow Sticks Pack</t>
  </si>
  <si>
    <t>1 Pack (20 Glow Sticks)</t>
  </si>
  <si>
    <t>Mega Event Confetti Blaster</t>
  </si>
  <si>
    <t>1 Unit (Heavy Cannon Blaster)</t>
  </si>
  <si>
    <t>Pop Pop Crackers (Snaps)</t>
  </si>
  <si>
    <t>1 Box (50 Small Packets)</t>
  </si>
  <si>
    <t>Roll Cap Gun with Caps</t>
  </si>
  <si>
    <t>1 Set (1 Gun + 10 Roll Cap Ring Cards)</t>
  </si>
  <si>
    <t>Snake Eggs Magic Box</t>
  </si>
  <si>
    <t>1 Box (10 Magic Pellets Packs)</t>
  </si>
  <si>
    <t>Cartoon Pencil Torch Sparkler</t>
  </si>
  <si>
    <t>1 Box (10 Pencil Torches)</t>
  </si>
  <si>
    <t>Color Light Pistol Fountain</t>
  </si>
  <si>
    <t>1 Box (5 Pistol Fountains)</t>
  </si>
  <si>
    <t>Whistling Siren Mini Fountain</t>
  </si>
  <si>
    <t>1 Box (5 Siren Fountains)</t>
  </si>
  <si>
    <t>Magic Wire Sparkler Pack</t>
  </si>
  <si>
    <t>1 Box (10 Wire Sparklers)</t>
  </si>
  <si>
    <t>Emoji Light Pop Wheel</t>
  </si>
  <si>
    <t>1 Box (5 Pop Wheels)</t>
  </si>
  <si>
    <t>Flash Light Ring Spinner</t>
  </si>
  <si>
    <t>1 Box (5 Flash Spinners)</t>
  </si>
  <si>
    <t>Kids Multi Fun Combination Pack</t>
  </si>
  <si>
    <t>1 Box (Assorted 15 Kids Items)</t>
  </si>
  <si>
    <t>100 Wala Garland</t>
  </si>
  <si>
    <t>1 Garland Chain (100 Crackers)</t>
  </si>
  <si>
    <t>200 Wala Red Garland</t>
  </si>
  <si>
    <t>1 Garland Chain (200 Crackers)</t>
  </si>
  <si>
    <t>1000 Wala Heavy Crackling</t>
  </si>
  <si>
    <t>1 Garland Chain (1000 Crackers)</t>
  </si>
  <si>
    <t>2000 Wala Celebration Garland</t>
  </si>
  <si>
    <t>1 Garland Chain (2000 Crackers)</t>
  </si>
  <si>
    <t>5000 Wala Giant Garland</t>
  </si>
  <si>
    <t>1 Garland Chain (5000 Crackers)</t>
  </si>
  <si>
    <t>10000 Wala King Garland</t>
  </si>
  <si>
    <t>1 Garland Chain (10000 Crackers)</t>
  </si>
  <si>
    <t>500 Wala Deluxe Garland</t>
  </si>
  <si>
    <t>1 Garland Chain (500 Crackers)</t>
  </si>
  <si>
    <t>300 Wala Sound Chain</t>
  </si>
  <si>
    <t>1 Garland Chain (300 Crackers)</t>
  </si>
  <si>
    <t>Electric Eco Garland 1000</t>
  </si>
  <si>
    <t>1 Eco Chain (1000 Sound Shots)</t>
  </si>
  <si>
    <t>Diwali Grand 15000 Wala</t>
  </si>
  <si>
    <t>1 Garland Chain (15000 Crackers)</t>
  </si>
  <si>
    <t>3 Step Repeating Fountain</t>
  </si>
  <si>
    <t>1 Box (3 Fountain Steps)</t>
  </si>
  <si>
    <t>5 Step Multi Color Fountain</t>
  </si>
  <si>
    <t>1 Box (5 Fountain Steps)</t>
  </si>
  <si>
    <t>7 Color Sequence Fountain</t>
  </si>
  <si>
    <t>1 Box (7 Color Sequence Shots)</t>
  </si>
  <si>
    <t>Volcano Burst Fountain</t>
  </si>
  <si>
    <t>1 Box (2 Volcano Cones)</t>
  </si>
  <si>
    <t>Cascading Waterfalls Fountain</t>
  </si>
  <si>
    <t>1 Box (2 Waterfall Fountains)</t>
  </si>
  <si>
    <t>Crackling Gold Fountain</t>
  </si>
  <si>
    <t>1 Box (3 Gold Fountains)</t>
  </si>
  <si>
    <t>Silver Stars Continuous Fountain</t>
  </si>
  <si>
    <t>1 Box (3 Silver Star Fountains)</t>
  </si>
  <si>
    <t>Titanium Flower Fountain</t>
  </si>
  <si>
    <t>1 Box (2 Titanium Fountains)</t>
  </si>
  <si>
    <t>Erupting Flame Repeated Shot</t>
  </si>
  <si>
    <t>1 Box (2 Erupting Cones)</t>
  </si>
  <si>
    <t>Symphony Super Deluxe Fountain</t>
  </si>
  <si>
    <t>1 Box (1 Grand Symphony Fountain)</t>
  </si>
  <si>
    <t>Royal Golden Crown Aerial Box</t>
  </si>
  <si>
    <t>1 Deluxe Box (25 Golden Crown Shots)</t>
  </si>
  <si>
    <t>Imperial 100 Shots Pyro Display</t>
  </si>
  <si>
    <t>1 Deluxe Box (100 Pyro Shots)</t>
  </si>
  <si>
    <t>Titanium Thunder Shells Pack</t>
  </si>
  <si>
    <t>1 Box (6 Large Shells)</t>
  </si>
  <si>
    <t>Diamond Sparkle Fountain Deluxe</t>
  </si>
  <si>
    <t>1 Box (2 Diamond Fountains)</t>
  </si>
  <si>
    <t>Majestic Palm Tree Sky Shot</t>
  </si>
  <si>
    <t>1 Deluxe Box (12 Palm Shots)</t>
  </si>
  <si>
    <t>Grand Master Diwali Gift Hamper</t>
  </si>
  <si>
    <t>1 Mega Hamper (50 Items Assorted)</t>
  </si>
  <si>
    <t>Night Symphony Multi-Effect Pack</t>
  </si>
  <si>
    <t>1 Deluxe Box (36 Multi-Effects)</t>
  </si>
  <si>
    <t>Glittering Brocade Comet Shells</t>
  </si>
  <si>
    <t>1 Box (8 Heavy Comet Shells)</t>
  </si>
  <si>
    <t>Platinum Celebration Box 50 Items</t>
  </si>
  <si>
    <t>1 Platinum Box (50 Premium Items)</t>
  </si>
  <si>
    <t>Presidential VIP Fireworks Hamper</t>
  </si>
  <si>
    <t>1 VIP Wooden Box (75 Luxury Fireworks)</t>
  </si>
  <si>
    <t>TOTAL ITEMS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</si>
</sst>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\₹#,##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7"/>
        <bgColor rgb="FFF2F4F7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1F4E7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3" fillId="4" borderId="2" xfId="0" applyNumberFormat="1" applyFont="1" applyFill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0" fontId="0" fillId="4" borderId="2" xfId="0" applyFill="1" applyBorder="1"/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2"/>
  <sheetViews>
    <sheetView tabSelected="1" workbookViewId="0">
      <pane ySplit="1" topLeftCell="A2" activePane="bottomLeft" state="frozen"/>
      <selection pane="bottomLeft" activeCell="E2" sqref="E2"/>
    </sheetView>
  </sheetViews>
  <sheetFormatPr defaultRowHeight="14.4"/>
  <cols>
    <col min="1" max="1" width="14" customWidth="1"/>
    <col min="2" max="2" width="23" customWidth="1"/>
    <col min="3" max="3" width="15" customWidth="1"/>
    <col min="4" max="4" width="34" customWidth="1"/>
    <col min="5" max="5" width="45" customWidth="1"/>
    <col min="6" max="6" width="17" customWidth="1"/>
    <col min="7" max="7" width="16" customWidth="1"/>
    <col min="8" max="8" width="19" customWidth="1"/>
  </cols>
  <sheetData>
    <row r="1" spans="1:8" ht="28.05" customHeight="1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 ht="19.95" customHeight="1">
      <c r="A2" s="7">
        <v>1</v>
      </c>
      <c r="B2" s="4" t="s">
        <v>1</v>
      </c>
      <c r="C2" s="4" t="s">
        <v>21</v>
      </c>
      <c r="D2" s="4" t="s">
        <v>22</v>
      </c>
      <c r="E2" s="4" t="s">
        <v>23</v>
      </c>
      <c r="F2" s="5">
        <v>2500</v>
      </c>
      <c r="G2" s="8">
        <v>0.1</v>
      </c>
      <c r="H2" s="5">
        <f t="shared" ref="H2:H33" si="0">F2*(1-G2)</f>
        <v>2250</v>
      </c>
    </row>
    <row r="3" spans="1:8" ht="19.95" customHeight="1">
      <c r="A3" s="9">
        <v>2</v>
      </c>
      <c r="B3" s="2" t="s">
        <v>1</v>
      </c>
      <c r="C3" s="2" t="s">
        <v>24</v>
      </c>
      <c r="D3" s="2" t="s">
        <v>25</v>
      </c>
      <c r="E3" s="2" t="s">
        <v>26</v>
      </c>
      <c r="F3" s="3">
        <v>3000</v>
      </c>
      <c r="G3" s="10">
        <v>0.1</v>
      </c>
      <c r="H3" s="3">
        <f t="shared" si="0"/>
        <v>2700</v>
      </c>
    </row>
    <row r="4" spans="1:8" ht="19.95" customHeight="1">
      <c r="A4" s="7">
        <v>3</v>
      </c>
      <c r="B4" s="4" t="s">
        <v>1</v>
      </c>
      <c r="C4" s="4" t="s">
        <v>24</v>
      </c>
      <c r="D4" s="4" t="s">
        <v>27</v>
      </c>
      <c r="E4" s="4" t="s">
        <v>28</v>
      </c>
      <c r="F4" s="5">
        <v>1800</v>
      </c>
      <c r="G4" s="8">
        <v>0.15</v>
      </c>
      <c r="H4" s="5">
        <f t="shared" si="0"/>
        <v>1530</v>
      </c>
    </row>
    <row r="5" spans="1:8" ht="19.95" customHeight="1">
      <c r="A5" s="9">
        <v>4</v>
      </c>
      <c r="B5" s="2" t="s">
        <v>1</v>
      </c>
      <c r="C5" s="2" t="s">
        <v>29</v>
      </c>
      <c r="D5" s="2" t="s">
        <v>30</v>
      </c>
      <c r="E5" s="2" t="s">
        <v>31</v>
      </c>
      <c r="F5" s="3">
        <v>2200</v>
      </c>
      <c r="G5" s="10">
        <v>0.12</v>
      </c>
      <c r="H5" s="3">
        <f t="shared" si="0"/>
        <v>1936</v>
      </c>
    </row>
    <row r="6" spans="1:8" ht="19.95" customHeight="1">
      <c r="A6" s="7">
        <v>5</v>
      </c>
      <c r="B6" s="4" t="s">
        <v>1</v>
      </c>
      <c r="C6" s="4" t="s">
        <v>32</v>
      </c>
      <c r="D6" s="4" t="s">
        <v>33</v>
      </c>
      <c r="E6" s="4" t="s">
        <v>34</v>
      </c>
      <c r="F6" s="5">
        <v>3500</v>
      </c>
      <c r="G6" s="8">
        <v>0.15</v>
      </c>
      <c r="H6" s="5">
        <f t="shared" si="0"/>
        <v>2975</v>
      </c>
    </row>
    <row r="7" spans="1:8" ht="19.95" customHeight="1">
      <c r="A7" s="9">
        <v>6</v>
      </c>
      <c r="B7" s="2" t="s">
        <v>1</v>
      </c>
      <c r="C7" s="2" t="s">
        <v>35</v>
      </c>
      <c r="D7" s="2" t="s">
        <v>36</v>
      </c>
      <c r="E7" s="2" t="s">
        <v>37</v>
      </c>
      <c r="F7" s="3">
        <v>1200</v>
      </c>
      <c r="G7" s="10">
        <v>0.1</v>
      </c>
      <c r="H7" s="3">
        <f t="shared" si="0"/>
        <v>1080</v>
      </c>
    </row>
    <row r="8" spans="1:8" ht="19.95" customHeight="1">
      <c r="A8" s="7">
        <v>7</v>
      </c>
      <c r="B8" s="4" t="s">
        <v>1</v>
      </c>
      <c r="C8" s="4" t="s">
        <v>32</v>
      </c>
      <c r="D8" s="4" t="s">
        <v>38</v>
      </c>
      <c r="E8" s="4" t="s">
        <v>39</v>
      </c>
      <c r="F8" s="5">
        <v>4500</v>
      </c>
      <c r="G8" s="8">
        <v>0.2</v>
      </c>
      <c r="H8" s="5">
        <f t="shared" si="0"/>
        <v>3600</v>
      </c>
    </row>
    <row r="9" spans="1:8" ht="19.95" customHeight="1">
      <c r="A9" s="9">
        <v>8</v>
      </c>
      <c r="B9" s="2" t="s">
        <v>1</v>
      </c>
      <c r="C9" s="2"/>
      <c r="D9" s="2" t="s">
        <v>40</v>
      </c>
      <c r="E9" s="2" t="s">
        <v>41</v>
      </c>
      <c r="F9" s="3">
        <v>2800</v>
      </c>
      <c r="G9" s="10">
        <v>0.1</v>
      </c>
      <c r="H9" s="3">
        <f t="shared" si="0"/>
        <v>2520</v>
      </c>
    </row>
    <row r="10" spans="1:8" ht="19.95" customHeight="1">
      <c r="A10" s="7">
        <v>9</v>
      </c>
      <c r="B10" s="4" t="s">
        <v>1</v>
      </c>
      <c r="C10" s="4" t="s">
        <v>35</v>
      </c>
      <c r="D10" s="4" t="s">
        <v>42</v>
      </c>
      <c r="E10" s="4" t="s">
        <v>43</v>
      </c>
      <c r="F10" s="5">
        <v>1500</v>
      </c>
      <c r="G10" s="8">
        <v>0.1</v>
      </c>
      <c r="H10" s="5">
        <f t="shared" si="0"/>
        <v>1350</v>
      </c>
    </row>
    <row r="11" spans="1:8" ht="19.95" customHeight="1">
      <c r="A11" s="9">
        <v>10</v>
      </c>
      <c r="B11" s="2" t="s">
        <v>1</v>
      </c>
      <c r="C11" s="2" t="s">
        <v>44</v>
      </c>
      <c r="D11" s="2" t="s">
        <v>45</v>
      </c>
      <c r="E11" s="2" t="s">
        <v>46</v>
      </c>
      <c r="F11" s="3">
        <v>5000</v>
      </c>
      <c r="G11" s="10">
        <v>0.2</v>
      </c>
      <c r="H11" s="3">
        <f t="shared" si="0"/>
        <v>4000</v>
      </c>
    </row>
    <row r="12" spans="1:8" ht="19.95" customHeight="1">
      <c r="A12" s="7">
        <v>11</v>
      </c>
      <c r="B12" s="4" t="s">
        <v>2</v>
      </c>
      <c r="C12" s="4" t="s">
        <v>29</v>
      </c>
      <c r="D12" s="4" t="s">
        <v>47</v>
      </c>
      <c r="E12" s="4" t="s">
        <v>48</v>
      </c>
      <c r="F12" s="5">
        <v>1500</v>
      </c>
      <c r="G12" s="8">
        <v>0.15</v>
      </c>
      <c r="H12" s="5">
        <f t="shared" si="0"/>
        <v>1275</v>
      </c>
    </row>
    <row r="13" spans="1:8" ht="19.95" customHeight="1">
      <c r="A13" s="9">
        <v>12</v>
      </c>
      <c r="B13" s="2" t="s">
        <v>2</v>
      </c>
      <c r="C13" s="2"/>
      <c r="D13" s="2" t="s">
        <v>49</v>
      </c>
      <c r="E13" s="2" t="s">
        <v>50</v>
      </c>
      <c r="F13" s="3">
        <v>1800</v>
      </c>
      <c r="G13" s="10">
        <v>0.12</v>
      </c>
      <c r="H13" s="3">
        <f t="shared" si="0"/>
        <v>1584</v>
      </c>
    </row>
    <row r="14" spans="1:8" ht="19.95" customHeight="1">
      <c r="A14" s="7">
        <v>13</v>
      </c>
      <c r="B14" s="4" t="s">
        <v>2</v>
      </c>
      <c r="C14" s="4" t="s">
        <v>44</v>
      </c>
      <c r="D14" s="4" t="s">
        <v>51</v>
      </c>
      <c r="E14" s="4" t="s">
        <v>52</v>
      </c>
      <c r="F14" s="5">
        <v>2500</v>
      </c>
      <c r="G14" s="8">
        <v>0.15</v>
      </c>
      <c r="H14" s="5">
        <f t="shared" si="0"/>
        <v>2125</v>
      </c>
    </row>
    <row r="15" spans="1:8" ht="19.95" customHeight="1">
      <c r="A15" s="9">
        <v>14</v>
      </c>
      <c r="B15" s="2" t="s">
        <v>2</v>
      </c>
      <c r="C15" s="2" t="s">
        <v>32</v>
      </c>
      <c r="D15" s="2" t="s">
        <v>53</v>
      </c>
      <c r="E15" s="2" t="s">
        <v>54</v>
      </c>
      <c r="F15" s="3">
        <v>4200</v>
      </c>
      <c r="G15" s="10">
        <v>0.2</v>
      </c>
      <c r="H15" s="3">
        <f t="shared" si="0"/>
        <v>3360</v>
      </c>
    </row>
    <row r="16" spans="1:8" ht="19.95" customHeight="1">
      <c r="A16" s="7">
        <v>15</v>
      </c>
      <c r="B16" s="4" t="s">
        <v>2</v>
      </c>
      <c r="C16" s="4" t="s">
        <v>24</v>
      </c>
      <c r="D16" s="4" t="s">
        <v>55</v>
      </c>
      <c r="E16" s="4" t="s">
        <v>56</v>
      </c>
      <c r="F16" s="5">
        <v>7500</v>
      </c>
      <c r="G16" s="8">
        <v>0.25</v>
      </c>
      <c r="H16" s="5">
        <f t="shared" si="0"/>
        <v>5625</v>
      </c>
    </row>
    <row r="17" spans="1:8" ht="19.95" customHeight="1">
      <c r="A17" s="9">
        <v>16</v>
      </c>
      <c r="B17" s="2" t="s">
        <v>2</v>
      </c>
      <c r="C17" s="2"/>
      <c r="D17" s="2" t="s">
        <v>57</v>
      </c>
      <c r="E17" s="2" t="s">
        <v>58</v>
      </c>
      <c r="F17" s="3">
        <v>250</v>
      </c>
      <c r="G17" s="10">
        <v>0.1</v>
      </c>
      <c r="H17" s="3">
        <f t="shared" si="0"/>
        <v>225</v>
      </c>
    </row>
    <row r="18" spans="1:8" ht="19.95" customHeight="1">
      <c r="A18" s="7">
        <v>17</v>
      </c>
      <c r="B18" s="4" t="s">
        <v>2</v>
      </c>
      <c r="C18" s="4"/>
      <c r="D18" s="4" t="s">
        <v>59</v>
      </c>
      <c r="E18" s="4" t="s">
        <v>58</v>
      </c>
      <c r="F18" s="5">
        <v>300</v>
      </c>
      <c r="G18" s="8">
        <v>0.1</v>
      </c>
      <c r="H18" s="5">
        <f t="shared" si="0"/>
        <v>270</v>
      </c>
    </row>
    <row r="19" spans="1:8" ht="19.95" customHeight="1">
      <c r="A19" s="9">
        <v>18</v>
      </c>
      <c r="B19" s="2" t="s">
        <v>2</v>
      </c>
      <c r="C19" s="2"/>
      <c r="D19" s="2" t="s">
        <v>60</v>
      </c>
      <c r="E19" s="2" t="s">
        <v>61</v>
      </c>
      <c r="F19" s="3">
        <v>2100</v>
      </c>
      <c r="G19" s="10">
        <v>0.15</v>
      </c>
      <c r="H19" s="3">
        <f t="shared" si="0"/>
        <v>1785</v>
      </c>
    </row>
    <row r="20" spans="1:8" ht="19.95" customHeight="1">
      <c r="A20" s="7">
        <v>19</v>
      </c>
      <c r="B20" s="4" t="s">
        <v>2</v>
      </c>
      <c r="C20" s="4"/>
      <c r="D20" s="4" t="s">
        <v>62</v>
      </c>
      <c r="E20" s="4" t="s">
        <v>63</v>
      </c>
      <c r="F20" s="5">
        <v>3800</v>
      </c>
      <c r="G20" s="8">
        <v>0.18</v>
      </c>
      <c r="H20" s="5">
        <f t="shared" si="0"/>
        <v>3116.0000000000005</v>
      </c>
    </row>
    <row r="21" spans="1:8" ht="19.95" customHeight="1">
      <c r="A21" s="9">
        <v>20</v>
      </c>
      <c r="B21" s="2" t="s">
        <v>2</v>
      </c>
      <c r="C21" s="2" t="s">
        <v>64</v>
      </c>
      <c r="D21" s="2" t="s">
        <v>65</v>
      </c>
      <c r="E21" s="2" t="s">
        <v>66</v>
      </c>
      <c r="F21" s="3">
        <v>9500</v>
      </c>
      <c r="G21" s="10">
        <v>0.25</v>
      </c>
      <c r="H21" s="3">
        <f t="shared" si="0"/>
        <v>7125</v>
      </c>
    </row>
    <row r="22" spans="1:8" ht="19.95" customHeight="1">
      <c r="A22" s="7">
        <v>21</v>
      </c>
      <c r="B22" s="4" t="s">
        <v>3</v>
      </c>
      <c r="C22" s="4"/>
      <c r="D22" s="4" t="s">
        <v>67</v>
      </c>
      <c r="E22" s="4" t="s">
        <v>68</v>
      </c>
      <c r="F22" s="5">
        <v>80</v>
      </c>
      <c r="G22" s="8">
        <v>0.05</v>
      </c>
      <c r="H22" s="5">
        <f t="shared" si="0"/>
        <v>76</v>
      </c>
    </row>
    <row r="23" spans="1:8" ht="19.95" customHeight="1">
      <c r="A23" s="9">
        <v>22</v>
      </c>
      <c r="B23" s="2" t="s">
        <v>3</v>
      </c>
      <c r="C23" s="2"/>
      <c r="D23" s="2" t="s">
        <v>69</v>
      </c>
      <c r="E23" s="2" t="s">
        <v>70</v>
      </c>
      <c r="F23" s="3">
        <v>110</v>
      </c>
      <c r="G23" s="10">
        <v>0.05</v>
      </c>
      <c r="H23" s="3">
        <f t="shared" si="0"/>
        <v>104.5</v>
      </c>
    </row>
    <row r="24" spans="1:8" ht="19.95" customHeight="1">
      <c r="A24" s="7">
        <v>23</v>
      </c>
      <c r="B24" s="4" t="s">
        <v>3</v>
      </c>
      <c r="C24" s="4" t="s">
        <v>24</v>
      </c>
      <c r="D24" s="4" t="s">
        <v>71</v>
      </c>
      <c r="E24" s="4" t="s">
        <v>72</v>
      </c>
      <c r="F24" s="5">
        <v>150</v>
      </c>
      <c r="G24" s="8">
        <v>0.1</v>
      </c>
      <c r="H24" s="5">
        <f t="shared" si="0"/>
        <v>135</v>
      </c>
    </row>
    <row r="25" spans="1:8" ht="19.95" customHeight="1">
      <c r="A25" s="9">
        <v>24</v>
      </c>
      <c r="B25" s="2" t="s">
        <v>3</v>
      </c>
      <c r="C25" s="2" t="s">
        <v>29</v>
      </c>
      <c r="D25" s="2" t="s">
        <v>73</v>
      </c>
      <c r="E25" s="2" t="s">
        <v>74</v>
      </c>
      <c r="F25" s="3">
        <v>280</v>
      </c>
      <c r="G25" s="10">
        <v>0.1</v>
      </c>
      <c r="H25" s="3">
        <f t="shared" si="0"/>
        <v>252</v>
      </c>
    </row>
    <row r="26" spans="1:8" ht="19.95" customHeight="1">
      <c r="A26" s="7">
        <v>25</v>
      </c>
      <c r="B26" s="4" t="s">
        <v>3</v>
      </c>
      <c r="C26" s="4" t="s">
        <v>44</v>
      </c>
      <c r="D26" s="4" t="s">
        <v>75</v>
      </c>
      <c r="E26" s="4" t="s">
        <v>76</v>
      </c>
      <c r="F26" s="5">
        <v>450</v>
      </c>
      <c r="G26" s="8">
        <v>0.12</v>
      </c>
      <c r="H26" s="5">
        <f t="shared" si="0"/>
        <v>396</v>
      </c>
    </row>
    <row r="27" spans="1:8" ht="19.95" customHeight="1">
      <c r="A27" s="9">
        <v>26</v>
      </c>
      <c r="B27" s="2" t="s">
        <v>3</v>
      </c>
      <c r="C27" s="2"/>
      <c r="D27" s="2" t="s">
        <v>77</v>
      </c>
      <c r="E27" s="2" t="s">
        <v>78</v>
      </c>
      <c r="F27" s="3">
        <v>180</v>
      </c>
      <c r="G27" s="10">
        <v>0.1</v>
      </c>
      <c r="H27" s="3">
        <f t="shared" si="0"/>
        <v>162</v>
      </c>
    </row>
    <row r="28" spans="1:8" ht="19.95" customHeight="1">
      <c r="A28" s="7">
        <v>27</v>
      </c>
      <c r="B28" s="4" t="s">
        <v>3</v>
      </c>
      <c r="C28" s="4"/>
      <c r="D28" s="4" t="s">
        <v>79</v>
      </c>
      <c r="E28" s="4" t="s">
        <v>80</v>
      </c>
      <c r="F28" s="5">
        <v>220</v>
      </c>
      <c r="G28" s="8">
        <v>0.1</v>
      </c>
      <c r="H28" s="5">
        <f t="shared" si="0"/>
        <v>198</v>
      </c>
    </row>
    <row r="29" spans="1:8" ht="19.95" customHeight="1">
      <c r="A29" s="9">
        <v>28</v>
      </c>
      <c r="B29" s="2" t="s">
        <v>3</v>
      </c>
      <c r="C29" s="2"/>
      <c r="D29" s="2" t="s">
        <v>81</v>
      </c>
      <c r="E29" s="2" t="s">
        <v>82</v>
      </c>
      <c r="F29" s="3">
        <v>320</v>
      </c>
      <c r="G29" s="10">
        <v>0.12</v>
      </c>
      <c r="H29" s="3">
        <f t="shared" si="0"/>
        <v>281.60000000000002</v>
      </c>
    </row>
    <row r="30" spans="1:8" ht="19.95" customHeight="1">
      <c r="A30" s="7">
        <v>29</v>
      </c>
      <c r="B30" s="4" t="s">
        <v>3</v>
      </c>
      <c r="C30" s="4"/>
      <c r="D30" s="4" t="s">
        <v>83</v>
      </c>
      <c r="E30" s="4" t="s">
        <v>84</v>
      </c>
      <c r="F30" s="5">
        <v>500</v>
      </c>
      <c r="G30" s="8">
        <v>0.15</v>
      </c>
      <c r="H30" s="5">
        <f t="shared" si="0"/>
        <v>425</v>
      </c>
    </row>
    <row r="31" spans="1:8" ht="19.95" customHeight="1">
      <c r="A31" s="9">
        <v>30</v>
      </c>
      <c r="B31" s="2" t="s">
        <v>3</v>
      </c>
      <c r="C31" s="2" t="s">
        <v>32</v>
      </c>
      <c r="D31" s="2" t="s">
        <v>85</v>
      </c>
      <c r="E31" s="2" t="s">
        <v>86</v>
      </c>
      <c r="F31" s="3">
        <v>850</v>
      </c>
      <c r="G31" s="10">
        <v>0.15</v>
      </c>
      <c r="H31" s="3">
        <f t="shared" si="0"/>
        <v>722.5</v>
      </c>
    </row>
    <row r="32" spans="1:8" ht="19.95" customHeight="1">
      <c r="A32" s="7">
        <v>31</v>
      </c>
      <c r="B32" s="4" t="s">
        <v>4</v>
      </c>
      <c r="C32" s="4"/>
      <c r="D32" s="4" t="s">
        <v>87</v>
      </c>
      <c r="E32" s="4" t="s">
        <v>88</v>
      </c>
      <c r="F32" s="5">
        <v>150</v>
      </c>
      <c r="G32" s="8">
        <v>0.1</v>
      </c>
      <c r="H32" s="5">
        <f t="shared" si="0"/>
        <v>135</v>
      </c>
    </row>
    <row r="33" spans="1:8" ht="19.95" customHeight="1">
      <c r="A33" s="9">
        <v>32</v>
      </c>
      <c r="B33" s="2" t="s">
        <v>4</v>
      </c>
      <c r="C33" s="2" t="s">
        <v>24</v>
      </c>
      <c r="D33" s="2" t="s">
        <v>89</v>
      </c>
      <c r="E33" s="2" t="s">
        <v>88</v>
      </c>
      <c r="F33" s="3">
        <v>220</v>
      </c>
      <c r="G33" s="10">
        <v>0.1</v>
      </c>
      <c r="H33" s="3">
        <f t="shared" si="0"/>
        <v>198</v>
      </c>
    </row>
    <row r="34" spans="1:8" ht="19.95" customHeight="1">
      <c r="A34" s="7">
        <v>33</v>
      </c>
      <c r="B34" s="4" t="s">
        <v>4</v>
      </c>
      <c r="C34" s="4"/>
      <c r="D34" s="4" t="s">
        <v>90</v>
      </c>
      <c r="E34" s="4" t="s">
        <v>88</v>
      </c>
      <c r="F34" s="5">
        <v>280</v>
      </c>
      <c r="G34" s="8">
        <v>0.1</v>
      </c>
      <c r="H34" s="5">
        <f t="shared" ref="H34:H65" si="1">F34*(1-G34)</f>
        <v>252</v>
      </c>
    </row>
    <row r="35" spans="1:8" ht="19.95" customHeight="1">
      <c r="A35" s="9">
        <v>34</v>
      </c>
      <c r="B35" s="2" t="s">
        <v>4</v>
      </c>
      <c r="C35" s="2"/>
      <c r="D35" s="2" t="s">
        <v>91</v>
      </c>
      <c r="E35" s="2" t="s">
        <v>92</v>
      </c>
      <c r="F35" s="3">
        <v>350</v>
      </c>
      <c r="G35" s="10">
        <v>0.12</v>
      </c>
      <c r="H35" s="3">
        <f t="shared" si="1"/>
        <v>308</v>
      </c>
    </row>
    <row r="36" spans="1:8" ht="19.95" customHeight="1">
      <c r="A36" s="7">
        <v>35</v>
      </c>
      <c r="B36" s="4" t="s">
        <v>4</v>
      </c>
      <c r="C36" s="4" t="s">
        <v>44</v>
      </c>
      <c r="D36" s="4" t="s">
        <v>93</v>
      </c>
      <c r="E36" s="4" t="s">
        <v>94</v>
      </c>
      <c r="F36" s="5">
        <v>400</v>
      </c>
      <c r="G36" s="8">
        <v>0.12</v>
      </c>
      <c r="H36" s="5">
        <f t="shared" si="1"/>
        <v>352</v>
      </c>
    </row>
    <row r="37" spans="1:8" ht="19.95" customHeight="1">
      <c r="A37" s="9">
        <v>36</v>
      </c>
      <c r="B37" s="2" t="s">
        <v>4</v>
      </c>
      <c r="C37" s="2" t="s">
        <v>29</v>
      </c>
      <c r="D37" s="2" t="s">
        <v>95</v>
      </c>
      <c r="E37" s="2" t="s">
        <v>96</v>
      </c>
      <c r="F37" s="3">
        <v>450</v>
      </c>
      <c r="G37" s="10">
        <v>0.15</v>
      </c>
      <c r="H37" s="3">
        <f t="shared" si="1"/>
        <v>382.5</v>
      </c>
    </row>
    <row r="38" spans="1:8" ht="19.95" customHeight="1">
      <c r="A38" s="7">
        <v>37</v>
      </c>
      <c r="B38" s="4" t="s">
        <v>4</v>
      </c>
      <c r="C38" s="4"/>
      <c r="D38" s="4" t="s">
        <v>97</v>
      </c>
      <c r="E38" s="4" t="s">
        <v>98</v>
      </c>
      <c r="F38" s="5">
        <v>520</v>
      </c>
      <c r="G38" s="8">
        <v>0.15</v>
      </c>
      <c r="H38" s="5">
        <f t="shared" si="1"/>
        <v>442</v>
      </c>
    </row>
    <row r="39" spans="1:8" ht="19.95" customHeight="1">
      <c r="A39" s="9">
        <v>38</v>
      </c>
      <c r="B39" s="2" t="s">
        <v>4</v>
      </c>
      <c r="C39" s="2"/>
      <c r="D39" s="2" t="s">
        <v>99</v>
      </c>
      <c r="E39" s="2" t="s">
        <v>100</v>
      </c>
      <c r="F39" s="3">
        <v>600</v>
      </c>
      <c r="G39" s="10">
        <v>0.15</v>
      </c>
      <c r="H39" s="3">
        <f t="shared" si="1"/>
        <v>510</v>
      </c>
    </row>
    <row r="40" spans="1:8" ht="19.95" customHeight="1">
      <c r="A40" s="7">
        <v>39</v>
      </c>
      <c r="B40" s="4" t="s">
        <v>4</v>
      </c>
      <c r="C40" s="4"/>
      <c r="D40" s="4" t="s">
        <v>101</v>
      </c>
      <c r="E40" s="4" t="s">
        <v>102</v>
      </c>
      <c r="F40" s="5">
        <v>750</v>
      </c>
      <c r="G40" s="8">
        <v>0.18</v>
      </c>
      <c r="H40" s="5">
        <f t="shared" si="1"/>
        <v>615</v>
      </c>
    </row>
    <row r="41" spans="1:8" ht="19.95" customHeight="1">
      <c r="A41" s="9">
        <v>40</v>
      </c>
      <c r="B41" s="2" t="s">
        <v>4</v>
      </c>
      <c r="C41" s="2" t="s">
        <v>32</v>
      </c>
      <c r="D41" s="2" t="s">
        <v>103</v>
      </c>
      <c r="E41" s="2" t="s">
        <v>104</v>
      </c>
      <c r="F41" s="3">
        <v>900</v>
      </c>
      <c r="G41" s="10">
        <v>0.2</v>
      </c>
      <c r="H41" s="3">
        <f t="shared" si="1"/>
        <v>720</v>
      </c>
    </row>
    <row r="42" spans="1:8" ht="19.95" customHeight="1">
      <c r="A42" s="7">
        <v>41</v>
      </c>
      <c r="B42" s="4" t="s">
        <v>5</v>
      </c>
      <c r="C42" s="4"/>
      <c r="D42" s="4" t="s">
        <v>105</v>
      </c>
      <c r="E42" s="4" t="s">
        <v>88</v>
      </c>
      <c r="F42" s="5">
        <v>120</v>
      </c>
      <c r="G42" s="8">
        <v>0.05</v>
      </c>
      <c r="H42" s="5">
        <f t="shared" si="1"/>
        <v>114</v>
      </c>
    </row>
    <row r="43" spans="1:8" ht="19.95" customHeight="1">
      <c r="A43" s="9">
        <v>42</v>
      </c>
      <c r="B43" s="2" t="s">
        <v>5</v>
      </c>
      <c r="C43" s="2"/>
      <c r="D43" s="2" t="s">
        <v>106</v>
      </c>
      <c r="E43" s="2" t="s">
        <v>88</v>
      </c>
      <c r="F43" s="3">
        <v>220</v>
      </c>
      <c r="G43" s="10">
        <v>0.1</v>
      </c>
      <c r="H43" s="3">
        <f t="shared" si="1"/>
        <v>198</v>
      </c>
    </row>
    <row r="44" spans="1:8" ht="19.95" customHeight="1">
      <c r="A44" s="7">
        <v>43</v>
      </c>
      <c r="B44" s="4" t="s">
        <v>5</v>
      </c>
      <c r="C44" s="4" t="s">
        <v>24</v>
      </c>
      <c r="D44" s="4" t="s">
        <v>107</v>
      </c>
      <c r="E44" s="4" t="s">
        <v>88</v>
      </c>
      <c r="F44" s="5">
        <v>320</v>
      </c>
      <c r="G44" s="8">
        <v>0.1</v>
      </c>
      <c r="H44" s="5">
        <f t="shared" si="1"/>
        <v>288</v>
      </c>
    </row>
    <row r="45" spans="1:8" ht="19.95" customHeight="1">
      <c r="A45" s="9">
        <v>44</v>
      </c>
      <c r="B45" s="2" t="s">
        <v>5</v>
      </c>
      <c r="C45" s="2" t="s">
        <v>29</v>
      </c>
      <c r="D45" s="2" t="s">
        <v>108</v>
      </c>
      <c r="E45" s="2" t="s">
        <v>92</v>
      </c>
      <c r="F45" s="3">
        <v>450</v>
      </c>
      <c r="G45" s="10">
        <v>0.12</v>
      </c>
      <c r="H45" s="3">
        <f t="shared" si="1"/>
        <v>396</v>
      </c>
    </row>
    <row r="46" spans="1:8" ht="19.95" customHeight="1">
      <c r="A46" s="7">
        <v>45</v>
      </c>
      <c r="B46" s="4" t="s">
        <v>5</v>
      </c>
      <c r="C46" s="4"/>
      <c r="D46" s="4" t="s">
        <v>109</v>
      </c>
      <c r="E46" s="4" t="s">
        <v>110</v>
      </c>
      <c r="F46" s="5">
        <v>580</v>
      </c>
      <c r="G46" s="8">
        <v>0.12</v>
      </c>
      <c r="H46" s="5">
        <f t="shared" si="1"/>
        <v>510.4</v>
      </c>
    </row>
    <row r="47" spans="1:8" ht="19.95" customHeight="1">
      <c r="A47" s="9">
        <v>46</v>
      </c>
      <c r="B47" s="2" t="s">
        <v>5</v>
      </c>
      <c r="C47" s="2" t="s">
        <v>44</v>
      </c>
      <c r="D47" s="2" t="s">
        <v>111</v>
      </c>
      <c r="E47" s="2" t="s">
        <v>112</v>
      </c>
      <c r="F47" s="3">
        <v>700</v>
      </c>
      <c r="G47" s="10">
        <v>0.15</v>
      </c>
      <c r="H47" s="3">
        <f t="shared" si="1"/>
        <v>595</v>
      </c>
    </row>
    <row r="48" spans="1:8" ht="19.95" customHeight="1">
      <c r="A48" s="7">
        <v>47</v>
      </c>
      <c r="B48" s="4" t="s">
        <v>5</v>
      </c>
      <c r="C48" s="4"/>
      <c r="D48" s="4" t="s">
        <v>113</v>
      </c>
      <c r="E48" s="4" t="s">
        <v>114</v>
      </c>
      <c r="F48" s="5">
        <v>820</v>
      </c>
      <c r="G48" s="8">
        <v>0.15</v>
      </c>
      <c r="H48" s="5">
        <f t="shared" si="1"/>
        <v>697</v>
      </c>
    </row>
    <row r="49" spans="1:8" ht="19.95" customHeight="1">
      <c r="A49" s="9">
        <v>48</v>
      </c>
      <c r="B49" s="2" t="s">
        <v>5</v>
      </c>
      <c r="C49" s="2"/>
      <c r="D49" s="2" t="s">
        <v>115</v>
      </c>
      <c r="E49" s="2" t="s">
        <v>116</v>
      </c>
      <c r="F49" s="3">
        <v>950</v>
      </c>
      <c r="G49" s="10">
        <v>0.15</v>
      </c>
      <c r="H49" s="3">
        <f t="shared" si="1"/>
        <v>807.5</v>
      </c>
    </row>
    <row r="50" spans="1:8" ht="19.95" customHeight="1">
      <c r="A50" s="7">
        <v>49</v>
      </c>
      <c r="B50" s="4" t="s">
        <v>5</v>
      </c>
      <c r="C50" s="4"/>
      <c r="D50" s="4" t="s">
        <v>117</v>
      </c>
      <c r="E50" s="4" t="s">
        <v>118</v>
      </c>
      <c r="F50" s="5">
        <v>1200</v>
      </c>
      <c r="G50" s="8">
        <v>0.18</v>
      </c>
      <c r="H50" s="5">
        <f t="shared" si="1"/>
        <v>984.00000000000011</v>
      </c>
    </row>
    <row r="51" spans="1:8" ht="19.95" customHeight="1">
      <c r="A51" s="9">
        <v>50</v>
      </c>
      <c r="B51" s="2" t="s">
        <v>5</v>
      </c>
      <c r="C51" s="2" t="s">
        <v>32</v>
      </c>
      <c r="D51" s="2" t="s">
        <v>119</v>
      </c>
      <c r="E51" s="2" t="s">
        <v>120</v>
      </c>
      <c r="F51" s="3">
        <v>1600</v>
      </c>
      <c r="G51" s="10">
        <v>0.2</v>
      </c>
      <c r="H51" s="3">
        <f t="shared" si="1"/>
        <v>1280</v>
      </c>
    </row>
    <row r="52" spans="1:8" ht="19.95" customHeight="1">
      <c r="A52" s="7">
        <v>51</v>
      </c>
      <c r="B52" s="4" t="s">
        <v>6</v>
      </c>
      <c r="C52" s="4"/>
      <c r="D52" s="4" t="s">
        <v>121</v>
      </c>
      <c r="E52" s="4" t="s">
        <v>122</v>
      </c>
      <c r="F52" s="5">
        <v>150</v>
      </c>
      <c r="G52" s="8">
        <v>0.1</v>
      </c>
      <c r="H52" s="5">
        <f t="shared" si="1"/>
        <v>135</v>
      </c>
    </row>
    <row r="53" spans="1:8" ht="19.95" customHeight="1">
      <c r="A53" s="9">
        <v>52</v>
      </c>
      <c r="B53" s="2" t="s">
        <v>6</v>
      </c>
      <c r="C53" s="2" t="s">
        <v>24</v>
      </c>
      <c r="D53" s="2" t="s">
        <v>123</v>
      </c>
      <c r="E53" s="2" t="s">
        <v>124</v>
      </c>
      <c r="F53" s="3">
        <v>280</v>
      </c>
      <c r="G53" s="10">
        <v>0.1</v>
      </c>
      <c r="H53" s="3">
        <f t="shared" si="1"/>
        <v>252</v>
      </c>
    </row>
    <row r="54" spans="1:8" ht="19.95" customHeight="1">
      <c r="A54" s="7">
        <v>53</v>
      </c>
      <c r="B54" s="4" t="s">
        <v>6</v>
      </c>
      <c r="C54" s="4"/>
      <c r="D54" s="4" t="s">
        <v>125</v>
      </c>
      <c r="E54" s="4" t="s">
        <v>126</v>
      </c>
      <c r="F54" s="5">
        <v>350</v>
      </c>
      <c r="G54" s="8">
        <v>0.12</v>
      </c>
      <c r="H54" s="5">
        <f t="shared" si="1"/>
        <v>308</v>
      </c>
    </row>
    <row r="55" spans="1:8" ht="19.95" customHeight="1">
      <c r="A55" s="9">
        <v>54</v>
      </c>
      <c r="B55" s="2" t="s">
        <v>6</v>
      </c>
      <c r="C55" s="2" t="s">
        <v>29</v>
      </c>
      <c r="D55" s="2" t="s">
        <v>127</v>
      </c>
      <c r="E55" s="2" t="s">
        <v>124</v>
      </c>
      <c r="F55" s="3">
        <v>420</v>
      </c>
      <c r="G55" s="10">
        <v>0.12</v>
      </c>
      <c r="H55" s="3">
        <f t="shared" si="1"/>
        <v>369.6</v>
      </c>
    </row>
    <row r="56" spans="1:8" ht="19.95" customHeight="1">
      <c r="A56" s="7">
        <v>55</v>
      </c>
      <c r="B56" s="4" t="s">
        <v>6</v>
      </c>
      <c r="C56" s="4" t="s">
        <v>44</v>
      </c>
      <c r="D56" s="4" t="s">
        <v>128</v>
      </c>
      <c r="E56" s="4" t="s">
        <v>129</v>
      </c>
      <c r="F56" s="5">
        <v>550</v>
      </c>
      <c r="G56" s="8">
        <v>0.15</v>
      </c>
      <c r="H56" s="5">
        <f t="shared" si="1"/>
        <v>467.5</v>
      </c>
    </row>
    <row r="57" spans="1:8" ht="19.95" customHeight="1">
      <c r="A57" s="9">
        <v>56</v>
      </c>
      <c r="B57" s="2" t="s">
        <v>6</v>
      </c>
      <c r="C57" s="2"/>
      <c r="D57" s="2" t="s">
        <v>130</v>
      </c>
      <c r="E57" s="2" t="s">
        <v>131</v>
      </c>
      <c r="F57" s="3">
        <v>720</v>
      </c>
      <c r="G57" s="10">
        <v>0.15</v>
      </c>
      <c r="H57" s="3">
        <f t="shared" si="1"/>
        <v>612</v>
      </c>
    </row>
    <row r="58" spans="1:8" ht="19.95" customHeight="1">
      <c r="A58" s="7">
        <v>57</v>
      </c>
      <c r="B58" s="4" t="s">
        <v>6</v>
      </c>
      <c r="C58" s="4"/>
      <c r="D58" s="4" t="s">
        <v>132</v>
      </c>
      <c r="E58" s="4" t="s">
        <v>133</v>
      </c>
      <c r="F58" s="5">
        <v>850</v>
      </c>
      <c r="G58" s="8">
        <v>0.15</v>
      </c>
      <c r="H58" s="5">
        <f t="shared" si="1"/>
        <v>722.5</v>
      </c>
    </row>
    <row r="59" spans="1:8" ht="19.95" customHeight="1">
      <c r="A59" s="9">
        <v>58</v>
      </c>
      <c r="B59" s="2" t="s">
        <v>6</v>
      </c>
      <c r="C59" s="2"/>
      <c r="D59" s="2" t="s">
        <v>134</v>
      </c>
      <c r="E59" s="2" t="s">
        <v>135</v>
      </c>
      <c r="F59" s="3">
        <v>980</v>
      </c>
      <c r="G59" s="10">
        <v>0.18</v>
      </c>
      <c r="H59" s="3">
        <f t="shared" si="1"/>
        <v>803.6</v>
      </c>
    </row>
    <row r="60" spans="1:8" ht="19.95" customHeight="1">
      <c r="A60" s="7">
        <v>59</v>
      </c>
      <c r="B60" s="4" t="s">
        <v>6</v>
      </c>
      <c r="C60" s="4"/>
      <c r="D60" s="4" t="s">
        <v>136</v>
      </c>
      <c r="E60" s="4" t="s">
        <v>137</v>
      </c>
      <c r="F60" s="5">
        <v>1200</v>
      </c>
      <c r="G60" s="8">
        <v>0.18</v>
      </c>
      <c r="H60" s="5">
        <f t="shared" si="1"/>
        <v>984.00000000000011</v>
      </c>
    </row>
    <row r="61" spans="1:8" ht="19.95" customHeight="1">
      <c r="A61" s="9">
        <v>60</v>
      </c>
      <c r="B61" s="2" t="s">
        <v>6</v>
      </c>
      <c r="C61" s="2" t="s">
        <v>32</v>
      </c>
      <c r="D61" s="2" t="s">
        <v>138</v>
      </c>
      <c r="E61" s="2" t="s">
        <v>139</v>
      </c>
      <c r="F61" s="3">
        <v>1600</v>
      </c>
      <c r="G61" s="10">
        <v>0.2</v>
      </c>
      <c r="H61" s="3">
        <f t="shared" si="1"/>
        <v>1280</v>
      </c>
    </row>
    <row r="62" spans="1:8" ht="19.95" customHeight="1">
      <c r="A62" s="7">
        <v>61</v>
      </c>
      <c r="B62" s="4" t="s">
        <v>7</v>
      </c>
      <c r="C62" s="4"/>
      <c r="D62" s="4" t="s">
        <v>140</v>
      </c>
      <c r="E62" s="4" t="s">
        <v>141</v>
      </c>
      <c r="F62" s="5">
        <v>60</v>
      </c>
      <c r="G62" s="8">
        <v>0.05</v>
      </c>
      <c r="H62" s="5">
        <f t="shared" si="1"/>
        <v>57</v>
      </c>
    </row>
    <row r="63" spans="1:8" ht="19.95" customHeight="1">
      <c r="A63" s="9">
        <v>62</v>
      </c>
      <c r="B63" s="2" t="s">
        <v>7</v>
      </c>
      <c r="C63" s="2" t="s">
        <v>24</v>
      </c>
      <c r="D63" s="2" t="s">
        <v>142</v>
      </c>
      <c r="E63" s="2" t="s">
        <v>143</v>
      </c>
      <c r="F63" s="3">
        <v>90</v>
      </c>
      <c r="G63" s="10">
        <v>0.05</v>
      </c>
      <c r="H63" s="3">
        <f t="shared" si="1"/>
        <v>85.5</v>
      </c>
    </row>
    <row r="64" spans="1:8" ht="19.95" customHeight="1">
      <c r="A64" s="7">
        <v>63</v>
      </c>
      <c r="B64" s="4" t="s">
        <v>7</v>
      </c>
      <c r="C64" s="4"/>
      <c r="D64" s="4" t="s">
        <v>144</v>
      </c>
      <c r="E64" s="4" t="s">
        <v>143</v>
      </c>
      <c r="F64" s="5">
        <v>140</v>
      </c>
      <c r="G64" s="8">
        <v>0.1</v>
      </c>
      <c r="H64" s="5">
        <f t="shared" si="1"/>
        <v>126</v>
      </c>
    </row>
    <row r="65" spans="1:8" ht="19.95" customHeight="1">
      <c r="A65" s="9">
        <v>64</v>
      </c>
      <c r="B65" s="2" t="s">
        <v>7</v>
      </c>
      <c r="C65" s="2" t="s">
        <v>29</v>
      </c>
      <c r="D65" s="2" t="s">
        <v>145</v>
      </c>
      <c r="E65" s="2" t="s">
        <v>143</v>
      </c>
      <c r="F65" s="3">
        <v>180</v>
      </c>
      <c r="G65" s="10">
        <v>0.1</v>
      </c>
      <c r="H65" s="3">
        <f t="shared" si="1"/>
        <v>162</v>
      </c>
    </row>
    <row r="66" spans="1:8" ht="19.95" customHeight="1">
      <c r="A66" s="7">
        <v>65</v>
      </c>
      <c r="B66" s="4" t="s">
        <v>7</v>
      </c>
      <c r="C66" s="4" t="s">
        <v>44</v>
      </c>
      <c r="D66" s="4" t="s">
        <v>146</v>
      </c>
      <c r="E66" s="4" t="s">
        <v>147</v>
      </c>
      <c r="F66" s="5">
        <v>250</v>
      </c>
      <c r="G66" s="8">
        <v>0.12</v>
      </c>
      <c r="H66" s="5">
        <f t="shared" ref="H66:H97" si="2">F66*(1-G66)</f>
        <v>220</v>
      </c>
    </row>
    <row r="67" spans="1:8" ht="19.95" customHeight="1">
      <c r="A67" s="9">
        <v>66</v>
      </c>
      <c r="B67" s="2" t="s">
        <v>7</v>
      </c>
      <c r="C67" s="2"/>
      <c r="D67" s="2" t="s">
        <v>148</v>
      </c>
      <c r="E67" s="2" t="s">
        <v>149</v>
      </c>
      <c r="F67" s="3">
        <v>320</v>
      </c>
      <c r="G67" s="10">
        <v>0.12</v>
      </c>
      <c r="H67" s="3">
        <f t="shared" si="2"/>
        <v>281.60000000000002</v>
      </c>
    </row>
    <row r="68" spans="1:8" ht="19.95" customHeight="1">
      <c r="A68" s="7">
        <v>67</v>
      </c>
      <c r="B68" s="4" t="s">
        <v>7</v>
      </c>
      <c r="C68" s="4"/>
      <c r="D68" s="4" t="s">
        <v>150</v>
      </c>
      <c r="E68" s="4" t="s">
        <v>151</v>
      </c>
      <c r="F68" s="5">
        <v>400</v>
      </c>
      <c r="G68" s="8">
        <v>0.15</v>
      </c>
      <c r="H68" s="5">
        <f t="shared" si="2"/>
        <v>340</v>
      </c>
    </row>
    <row r="69" spans="1:8" ht="19.95" customHeight="1">
      <c r="A69" s="9">
        <v>68</v>
      </c>
      <c r="B69" s="2" t="s">
        <v>7</v>
      </c>
      <c r="C69" s="2"/>
      <c r="D69" s="2" t="s">
        <v>152</v>
      </c>
      <c r="E69" s="2" t="s">
        <v>153</v>
      </c>
      <c r="F69" s="3">
        <v>500</v>
      </c>
      <c r="G69" s="10">
        <v>0.15</v>
      </c>
      <c r="H69" s="3">
        <f t="shared" si="2"/>
        <v>425</v>
      </c>
    </row>
    <row r="70" spans="1:8" ht="19.95" customHeight="1">
      <c r="A70" s="7">
        <v>69</v>
      </c>
      <c r="B70" s="4" t="s">
        <v>7</v>
      </c>
      <c r="C70" s="4"/>
      <c r="D70" s="4" t="s">
        <v>154</v>
      </c>
      <c r="E70" s="4" t="s">
        <v>155</v>
      </c>
      <c r="F70" s="5">
        <v>650</v>
      </c>
      <c r="G70" s="8">
        <v>0.18</v>
      </c>
      <c r="H70" s="5">
        <f t="shared" si="2"/>
        <v>533</v>
      </c>
    </row>
    <row r="71" spans="1:8" ht="19.95" customHeight="1">
      <c r="A71" s="9">
        <v>70</v>
      </c>
      <c r="B71" s="2" t="s">
        <v>7</v>
      </c>
      <c r="C71" s="2" t="s">
        <v>32</v>
      </c>
      <c r="D71" s="2" t="s">
        <v>156</v>
      </c>
      <c r="E71" s="2" t="s">
        <v>157</v>
      </c>
      <c r="F71" s="3">
        <v>850</v>
      </c>
      <c r="G71" s="10">
        <v>0.2</v>
      </c>
      <c r="H71" s="3">
        <f t="shared" si="2"/>
        <v>680</v>
      </c>
    </row>
    <row r="72" spans="1:8" ht="19.95" customHeight="1">
      <c r="A72" s="7">
        <v>71</v>
      </c>
      <c r="B72" s="4" t="s">
        <v>8</v>
      </c>
      <c r="C72" s="4"/>
      <c r="D72" s="4" t="s">
        <v>158</v>
      </c>
      <c r="E72" s="4" t="s">
        <v>159</v>
      </c>
      <c r="F72" s="5">
        <v>220</v>
      </c>
      <c r="G72" s="8">
        <v>0.1</v>
      </c>
      <c r="H72" s="5">
        <f t="shared" si="2"/>
        <v>198</v>
      </c>
    </row>
    <row r="73" spans="1:8" ht="19.95" customHeight="1">
      <c r="A73" s="9">
        <v>72</v>
      </c>
      <c r="B73" s="2" t="s">
        <v>8</v>
      </c>
      <c r="C73" s="2" t="s">
        <v>29</v>
      </c>
      <c r="D73" s="2" t="s">
        <v>160</v>
      </c>
      <c r="E73" s="2" t="s">
        <v>161</v>
      </c>
      <c r="F73" s="3">
        <v>450</v>
      </c>
      <c r="G73" s="10">
        <v>0.12</v>
      </c>
      <c r="H73" s="3">
        <f t="shared" si="2"/>
        <v>396</v>
      </c>
    </row>
    <row r="74" spans="1:8" ht="19.95" customHeight="1">
      <c r="A74" s="7">
        <v>73</v>
      </c>
      <c r="B74" s="4" t="s">
        <v>8</v>
      </c>
      <c r="C74" s="4"/>
      <c r="D74" s="4" t="s">
        <v>162</v>
      </c>
      <c r="E74" s="4" t="s">
        <v>163</v>
      </c>
      <c r="F74" s="5">
        <v>520</v>
      </c>
      <c r="G74" s="8">
        <v>0.12</v>
      </c>
      <c r="H74" s="5">
        <f t="shared" si="2"/>
        <v>457.6</v>
      </c>
    </row>
    <row r="75" spans="1:8" ht="19.95" customHeight="1">
      <c r="A75" s="9">
        <v>74</v>
      </c>
      <c r="B75" s="2" t="s">
        <v>8</v>
      </c>
      <c r="C75" s="2" t="s">
        <v>44</v>
      </c>
      <c r="D75" s="2" t="s">
        <v>164</v>
      </c>
      <c r="E75" s="2" t="s">
        <v>165</v>
      </c>
      <c r="F75" s="3">
        <v>650</v>
      </c>
      <c r="G75" s="10">
        <v>0.15</v>
      </c>
      <c r="H75" s="3">
        <f t="shared" si="2"/>
        <v>552.5</v>
      </c>
    </row>
    <row r="76" spans="1:8" ht="19.95" customHeight="1">
      <c r="A76" s="7">
        <v>75</v>
      </c>
      <c r="B76" s="4" t="s">
        <v>8</v>
      </c>
      <c r="C76" s="4" t="s">
        <v>24</v>
      </c>
      <c r="D76" s="4" t="s">
        <v>166</v>
      </c>
      <c r="E76" s="4" t="s">
        <v>167</v>
      </c>
      <c r="F76" s="5">
        <v>380</v>
      </c>
      <c r="G76" s="8">
        <v>0.1</v>
      </c>
      <c r="H76" s="5">
        <f t="shared" si="2"/>
        <v>342</v>
      </c>
    </row>
    <row r="77" spans="1:8" ht="19.95" customHeight="1">
      <c r="A77" s="9">
        <v>76</v>
      </c>
      <c r="B77" s="2" t="s">
        <v>8</v>
      </c>
      <c r="C77" s="2"/>
      <c r="D77" s="2" t="s">
        <v>168</v>
      </c>
      <c r="E77" s="2" t="s">
        <v>169</v>
      </c>
      <c r="F77" s="3">
        <v>480</v>
      </c>
      <c r="G77" s="10">
        <v>0.12</v>
      </c>
      <c r="H77" s="3">
        <f t="shared" si="2"/>
        <v>422.4</v>
      </c>
    </row>
    <row r="78" spans="1:8" ht="19.95" customHeight="1">
      <c r="A78" s="7">
        <v>77</v>
      </c>
      <c r="B78" s="4" t="s">
        <v>8</v>
      </c>
      <c r="C78" s="4"/>
      <c r="D78" s="4" t="s">
        <v>170</v>
      </c>
      <c r="E78" s="4" t="s">
        <v>171</v>
      </c>
      <c r="F78" s="5">
        <v>180</v>
      </c>
      <c r="G78" s="8">
        <v>0.1</v>
      </c>
      <c r="H78" s="5">
        <f t="shared" si="2"/>
        <v>162</v>
      </c>
    </row>
    <row r="79" spans="1:8" ht="19.95" customHeight="1">
      <c r="A79" s="9">
        <v>78</v>
      </c>
      <c r="B79" s="2" t="s">
        <v>8</v>
      </c>
      <c r="C79" s="2"/>
      <c r="D79" s="2" t="s">
        <v>172</v>
      </c>
      <c r="E79" s="2" t="s">
        <v>173</v>
      </c>
      <c r="F79" s="3">
        <v>750</v>
      </c>
      <c r="G79" s="10">
        <v>0.15</v>
      </c>
      <c r="H79" s="3">
        <f t="shared" si="2"/>
        <v>637.5</v>
      </c>
    </row>
    <row r="80" spans="1:8" ht="19.95" customHeight="1">
      <c r="A80" s="7">
        <v>79</v>
      </c>
      <c r="B80" s="4" t="s">
        <v>8</v>
      </c>
      <c r="C80" s="4"/>
      <c r="D80" s="4" t="s">
        <v>174</v>
      </c>
      <c r="E80" s="4" t="s">
        <v>175</v>
      </c>
      <c r="F80" s="5">
        <v>900</v>
      </c>
      <c r="G80" s="8">
        <v>0.18</v>
      </c>
      <c r="H80" s="5">
        <f t="shared" si="2"/>
        <v>738</v>
      </c>
    </row>
    <row r="81" spans="1:8" ht="19.95" customHeight="1">
      <c r="A81" s="9">
        <v>80</v>
      </c>
      <c r="B81" s="2" t="s">
        <v>8</v>
      </c>
      <c r="C81" s="2" t="s">
        <v>32</v>
      </c>
      <c r="D81" s="2" t="s">
        <v>176</v>
      </c>
      <c r="E81" s="2" t="s">
        <v>177</v>
      </c>
      <c r="F81" s="3">
        <v>1100</v>
      </c>
      <c r="G81" s="10">
        <v>0.2</v>
      </c>
      <c r="H81" s="3">
        <f t="shared" si="2"/>
        <v>880</v>
      </c>
    </row>
    <row r="82" spans="1:8" ht="19.95" customHeight="1">
      <c r="A82" s="7">
        <v>81</v>
      </c>
      <c r="B82" s="4" t="s">
        <v>9</v>
      </c>
      <c r="C82" s="4" t="s">
        <v>24</v>
      </c>
      <c r="D82" s="4" t="s">
        <v>178</v>
      </c>
      <c r="E82" s="4" t="s">
        <v>179</v>
      </c>
      <c r="F82" s="5">
        <v>120</v>
      </c>
      <c r="G82" s="8">
        <v>0.1</v>
      </c>
      <c r="H82" s="5">
        <f t="shared" si="2"/>
        <v>108</v>
      </c>
    </row>
    <row r="83" spans="1:8" ht="19.95" customHeight="1">
      <c r="A83" s="9">
        <v>82</v>
      </c>
      <c r="B83" s="2" t="s">
        <v>9</v>
      </c>
      <c r="C83" s="2" t="s">
        <v>29</v>
      </c>
      <c r="D83" s="2" t="s">
        <v>180</v>
      </c>
      <c r="E83" s="2" t="s">
        <v>181</v>
      </c>
      <c r="F83" s="3">
        <v>200</v>
      </c>
      <c r="G83" s="10">
        <v>0.1</v>
      </c>
      <c r="H83" s="3">
        <f t="shared" si="2"/>
        <v>180</v>
      </c>
    </row>
    <row r="84" spans="1:8" ht="19.95" customHeight="1">
      <c r="A84" s="7">
        <v>83</v>
      </c>
      <c r="B84" s="4" t="s">
        <v>9</v>
      </c>
      <c r="C84" s="4" t="s">
        <v>44</v>
      </c>
      <c r="D84" s="4" t="s">
        <v>182</v>
      </c>
      <c r="E84" s="4" t="s">
        <v>183</v>
      </c>
      <c r="F84" s="5">
        <v>450</v>
      </c>
      <c r="G84" s="8">
        <v>0.15</v>
      </c>
      <c r="H84" s="5">
        <f t="shared" si="2"/>
        <v>382.5</v>
      </c>
    </row>
    <row r="85" spans="1:8" ht="19.95" customHeight="1">
      <c r="A85" s="9">
        <v>84</v>
      </c>
      <c r="B85" s="2" t="s">
        <v>9</v>
      </c>
      <c r="C85" s="2"/>
      <c r="D85" s="2" t="s">
        <v>184</v>
      </c>
      <c r="E85" s="2" t="s">
        <v>185</v>
      </c>
      <c r="F85" s="3">
        <v>150</v>
      </c>
      <c r="G85" s="10">
        <v>0.1</v>
      </c>
      <c r="H85" s="3">
        <f t="shared" si="2"/>
        <v>135</v>
      </c>
    </row>
    <row r="86" spans="1:8" ht="19.95" customHeight="1">
      <c r="A86" s="7">
        <v>85</v>
      </c>
      <c r="B86" s="4" t="s">
        <v>9</v>
      </c>
      <c r="C86" s="4"/>
      <c r="D86" s="4" t="s">
        <v>186</v>
      </c>
      <c r="E86" s="4" t="s">
        <v>187</v>
      </c>
      <c r="F86" s="5">
        <v>320</v>
      </c>
      <c r="G86" s="8">
        <v>0.12</v>
      </c>
      <c r="H86" s="5">
        <f t="shared" si="2"/>
        <v>281.60000000000002</v>
      </c>
    </row>
    <row r="87" spans="1:8" ht="19.95" customHeight="1">
      <c r="A87" s="9">
        <v>86</v>
      </c>
      <c r="B87" s="2" t="s">
        <v>9</v>
      </c>
      <c r="C87" s="2"/>
      <c r="D87" s="2" t="s">
        <v>188</v>
      </c>
      <c r="E87" s="2" t="s">
        <v>189</v>
      </c>
      <c r="F87" s="3">
        <v>550</v>
      </c>
      <c r="G87" s="10">
        <v>0.15</v>
      </c>
      <c r="H87" s="3">
        <f t="shared" si="2"/>
        <v>467.5</v>
      </c>
    </row>
    <row r="88" spans="1:8" ht="19.95" customHeight="1">
      <c r="A88" s="7">
        <v>87</v>
      </c>
      <c r="B88" s="4" t="s">
        <v>9</v>
      </c>
      <c r="C88" s="4"/>
      <c r="D88" s="4" t="s">
        <v>190</v>
      </c>
      <c r="E88" s="4" t="s">
        <v>191</v>
      </c>
      <c r="F88" s="5">
        <v>250</v>
      </c>
      <c r="G88" s="8">
        <v>0.1</v>
      </c>
      <c r="H88" s="5">
        <f t="shared" si="2"/>
        <v>225</v>
      </c>
    </row>
    <row r="89" spans="1:8" ht="19.95" customHeight="1">
      <c r="A89" s="9">
        <v>88</v>
      </c>
      <c r="B89" s="2" t="s">
        <v>9</v>
      </c>
      <c r="C89" s="2"/>
      <c r="D89" s="2" t="s">
        <v>192</v>
      </c>
      <c r="E89" s="2" t="s">
        <v>193</v>
      </c>
      <c r="F89" s="3">
        <v>600</v>
      </c>
      <c r="G89" s="10">
        <v>0.15</v>
      </c>
      <c r="H89" s="3">
        <f t="shared" si="2"/>
        <v>510</v>
      </c>
    </row>
    <row r="90" spans="1:8" ht="19.95" customHeight="1">
      <c r="A90" s="7">
        <v>89</v>
      </c>
      <c r="B90" s="4" t="s">
        <v>9</v>
      </c>
      <c r="C90" s="4"/>
      <c r="D90" s="4" t="s">
        <v>194</v>
      </c>
      <c r="E90" s="4" t="s">
        <v>195</v>
      </c>
      <c r="F90" s="5">
        <v>180</v>
      </c>
      <c r="G90" s="8">
        <v>0.1</v>
      </c>
      <c r="H90" s="5">
        <f t="shared" si="2"/>
        <v>162</v>
      </c>
    </row>
    <row r="91" spans="1:8" ht="19.95" customHeight="1">
      <c r="A91" s="9">
        <v>90</v>
      </c>
      <c r="B91" s="2" t="s">
        <v>9</v>
      </c>
      <c r="C91" s="2" t="s">
        <v>32</v>
      </c>
      <c r="D91" s="2" t="s">
        <v>196</v>
      </c>
      <c r="E91" s="2" t="s">
        <v>197</v>
      </c>
      <c r="F91" s="3">
        <v>1200</v>
      </c>
      <c r="G91" s="10">
        <v>0.2</v>
      </c>
      <c r="H91" s="3">
        <f t="shared" si="2"/>
        <v>960</v>
      </c>
    </row>
    <row r="92" spans="1:8" ht="19.95" customHeight="1">
      <c r="A92" s="7">
        <v>91</v>
      </c>
      <c r="B92" s="4" t="s">
        <v>10</v>
      </c>
      <c r="C92" s="4" t="s">
        <v>29</v>
      </c>
      <c r="D92" s="4" t="s">
        <v>198</v>
      </c>
      <c r="E92" s="4" t="s">
        <v>199</v>
      </c>
      <c r="F92" s="5">
        <v>30</v>
      </c>
      <c r="G92" s="8">
        <v>0.05</v>
      </c>
      <c r="H92" s="5">
        <f t="shared" si="2"/>
        <v>28.5</v>
      </c>
    </row>
    <row r="93" spans="1:8" ht="19.95" customHeight="1">
      <c r="A93" s="9">
        <v>92</v>
      </c>
      <c r="B93" s="2" t="s">
        <v>10</v>
      </c>
      <c r="C93" s="2" t="s">
        <v>24</v>
      </c>
      <c r="D93" s="2" t="s">
        <v>200</v>
      </c>
      <c r="E93" s="2" t="s">
        <v>201</v>
      </c>
      <c r="F93" s="3">
        <v>120</v>
      </c>
      <c r="G93" s="10">
        <v>0.1</v>
      </c>
      <c r="H93" s="3">
        <f t="shared" si="2"/>
        <v>108</v>
      </c>
    </row>
    <row r="94" spans="1:8" ht="19.95" customHeight="1">
      <c r="A94" s="7">
        <v>93</v>
      </c>
      <c r="B94" s="4" t="s">
        <v>10</v>
      </c>
      <c r="C94" s="4"/>
      <c r="D94" s="4" t="s">
        <v>202</v>
      </c>
      <c r="E94" s="4" t="s">
        <v>203</v>
      </c>
      <c r="F94" s="5">
        <v>80</v>
      </c>
      <c r="G94" s="8">
        <v>0.05</v>
      </c>
      <c r="H94" s="5">
        <f t="shared" si="2"/>
        <v>76</v>
      </c>
    </row>
    <row r="95" spans="1:8" ht="19.95" customHeight="1">
      <c r="A95" s="9">
        <v>94</v>
      </c>
      <c r="B95" s="2" t="s">
        <v>10</v>
      </c>
      <c r="C95" s="2"/>
      <c r="D95" s="2" t="s">
        <v>204</v>
      </c>
      <c r="E95" s="2" t="s">
        <v>205</v>
      </c>
      <c r="F95" s="3">
        <v>180</v>
      </c>
      <c r="G95" s="10">
        <v>0.1</v>
      </c>
      <c r="H95" s="3">
        <f t="shared" si="2"/>
        <v>162</v>
      </c>
    </row>
    <row r="96" spans="1:8" ht="19.95" customHeight="1">
      <c r="A96" s="7">
        <v>95</v>
      </c>
      <c r="B96" s="4" t="s">
        <v>10</v>
      </c>
      <c r="C96" s="4" t="s">
        <v>44</v>
      </c>
      <c r="D96" s="4" t="s">
        <v>206</v>
      </c>
      <c r="E96" s="4" t="s">
        <v>207</v>
      </c>
      <c r="F96" s="5">
        <v>280</v>
      </c>
      <c r="G96" s="8">
        <v>0.12</v>
      </c>
      <c r="H96" s="5">
        <f t="shared" si="2"/>
        <v>246.4</v>
      </c>
    </row>
    <row r="97" spans="1:8" ht="19.95" customHeight="1">
      <c r="A97" s="9">
        <v>96</v>
      </c>
      <c r="B97" s="2" t="s">
        <v>10</v>
      </c>
      <c r="C97" s="2"/>
      <c r="D97" s="2" t="s">
        <v>208</v>
      </c>
      <c r="E97" s="2" t="s">
        <v>209</v>
      </c>
      <c r="F97" s="3">
        <v>220</v>
      </c>
      <c r="G97" s="10">
        <v>0.1</v>
      </c>
      <c r="H97" s="3">
        <f t="shared" si="2"/>
        <v>198</v>
      </c>
    </row>
    <row r="98" spans="1:8" ht="19.95" customHeight="1">
      <c r="A98" s="7">
        <v>97</v>
      </c>
      <c r="B98" s="4" t="s">
        <v>10</v>
      </c>
      <c r="C98" s="4"/>
      <c r="D98" s="4" t="s">
        <v>210</v>
      </c>
      <c r="E98" s="4" t="s">
        <v>211</v>
      </c>
      <c r="F98" s="5">
        <v>150</v>
      </c>
      <c r="G98" s="8">
        <v>0.1</v>
      </c>
      <c r="H98" s="5">
        <f t="shared" ref="H98:H129" si="3">F98*(1-G98)</f>
        <v>135</v>
      </c>
    </row>
    <row r="99" spans="1:8" ht="19.95" customHeight="1">
      <c r="A99" s="9">
        <v>98</v>
      </c>
      <c r="B99" s="2" t="s">
        <v>10</v>
      </c>
      <c r="C99" s="2"/>
      <c r="D99" s="2" t="s">
        <v>212</v>
      </c>
      <c r="E99" s="2" t="s">
        <v>213</v>
      </c>
      <c r="F99" s="3">
        <v>250</v>
      </c>
      <c r="G99" s="10">
        <v>0.12</v>
      </c>
      <c r="H99" s="3">
        <f t="shared" si="3"/>
        <v>220</v>
      </c>
    </row>
    <row r="100" spans="1:8" ht="19.95" customHeight="1">
      <c r="A100" s="7">
        <v>99</v>
      </c>
      <c r="B100" s="4" t="s">
        <v>10</v>
      </c>
      <c r="C100" s="4"/>
      <c r="D100" s="4" t="s">
        <v>214</v>
      </c>
      <c r="E100" s="4" t="s">
        <v>215</v>
      </c>
      <c r="F100" s="5">
        <v>320</v>
      </c>
      <c r="G100" s="8">
        <v>0.12</v>
      </c>
      <c r="H100" s="5">
        <f t="shared" si="3"/>
        <v>281.60000000000002</v>
      </c>
    </row>
    <row r="101" spans="1:8" ht="19.95" customHeight="1">
      <c r="A101" s="9">
        <v>100</v>
      </c>
      <c r="B101" s="2" t="s">
        <v>10</v>
      </c>
      <c r="C101" s="2" t="s">
        <v>32</v>
      </c>
      <c r="D101" s="2" t="s">
        <v>216</v>
      </c>
      <c r="E101" s="2" t="s">
        <v>217</v>
      </c>
      <c r="F101" s="3">
        <v>650</v>
      </c>
      <c r="G101" s="10">
        <v>0.15</v>
      </c>
      <c r="H101" s="3">
        <f t="shared" si="3"/>
        <v>552.5</v>
      </c>
    </row>
    <row r="102" spans="1:8" ht="19.95" customHeight="1">
      <c r="A102" s="7">
        <v>101</v>
      </c>
      <c r="B102" s="4" t="s">
        <v>11</v>
      </c>
      <c r="C102" s="4"/>
      <c r="D102" s="4" t="s">
        <v>218</v>
      </c>
      <c r="E102" s="4" t="s">
        <v>219</v>
      </c>
      <c r="F102" s="5">
        <v>180</v>
      </c>
      <c r="G102" s="8">
        <v>0.1</v>
      </c>
      <c r="H102" s="5">
        <f t="shared" si="3"/>
        <v>162</v>
      </c>
    </row>
    <row r="103" spans="1:8" ht="19.95" customHeight="1">
      <c r="A103" s="9">
        <v>102</v>
      </c>
      <c r="B103" s="2" t="s">
        <v>11</v>
      </c>
      <c r="C103" s="2"/>
      <c r="D103" s="2" t="s">
        <v>220</v>
      </c>
      <c r="E103" s="2" t="s">
        <v>221</v>
      </c>
      <c r="F103" s="3">
        <v>320</v>
      </c>
      <c r="G103" s="10">
        <v>0.1</v>
      </c>
      <c r="H103" s="3">
        <f t="shared" si="3"/>
        <v>288</v>
      </c>
    </row>
    <row r="104" spans="1:8" ht="19.95" customHeight="1">
      <c r="A104" s="7">
        <v>103</v>
      </c>
      <c r="B104" s="4" t="s">
        <v>11</v>
      </c>
      <c r="C104" s="4" t="s">
        <v>29</v>
      </c>
      <c r="D104" s="4" t="s">
        <v>222</v>
      </c>
      <c r="E104" s="4" t="s">
        <v>223</v>
      </c>
      <c r="F104" s="5">
        <v>1200</v>
      </c>
      <c r="G104" s="8">
        <v>0.15</v>
      </c>
      <c r="H104" s="5">
        <f t="shared" si="3"/>
        <v>1020</v>
      </c>
    </row>
    <row r="105" spans="1:8" ht="19.95" customHeight="1">
      <c r="A105" s="9">
        <v>104</v>
      </c>
      <c r="B105" s="2" t="s">
        <v>11</v>
      </c>
      <c r="C105" s="2" t="s">
        <v>44</v>
      </c>
      <c r="D105" s="2" t="s">
        <v>224</v>
      </c>
      <c r="E105" s="2" t="s">
        <v>225</v>
      </c>
      <c r="F105" s="3">
        <v>2200</v>
      </c>
      <c r="G105" s="10">
        <v>0.18</v>
      </c>
      <c r="H105" s="3">
        <f t="shared" si="3"/>
        <v>1804.0000000000002</v>
      </c>
    </row>
    <row r="106" spans="1:8" ht="19.95" customHeight="1">
      <c r="A106" s="7">
        <v>105</v>
      </c>
      <c r="B106" s="4" t="s">
        <v>11</v>
      </c>
      <c r="C106" s="4" t="s">
        <v>24</v>
      </c>
      <c r="D106" s="4" t="s">
        <v>226</v>
      </c>
      <c r="E106" s="4" t="s">
        <v>227</v>
      </c>
      <c r="F106" s="5">
        <v>4800</v>
      </c>
      <c r="G106" s="8">
        <v>0.2</v>
      </c>
      <c r="H106" s="5">
        <f t="shared" si="3"/>
        <v>3840</v>
      </c>
    </row>
    <row r="107" spans="1:8" ht="19.95" customHeight="1">
      <c r="A107" s="9">
        <v>106</v>
      </c>
      <c r="B107" s="2" t="s">
        <v>11</v>
      </c>
      <c r="C107" s="2" t="s">
        <v>32</v>
      </c>
      <c r="D107" s="2" t="s">
        <v>228</v>
      </c>
      <c r="E107" s="2" t="s">
        <v>229</v>
      </c>
      <c r="F107" s="3">
        <v>9200</v>
      </c>
      <c r="G107" s="10">
        <v>0.22</v>
      </c>
      <c r="H107" s="3">
        <f t="shared" si="3"/>
        <v>7176</v>
      </c>
    </row>
    <row r="108" spans="1:8" ht="19.95" customHeight="1">
      <c r="A108" s="7">
        <v>107</v>
      </c>
      <c r="B108" s="4" t="s">
        <v>11</v>
      </c>
      <c r="C108" s="4"/>
      <c r="D108" s="4" t="s">
        <v>230</v>
      </c>
      <c r="E108" s="4" t="s">
        <v>231</v>
      </c>
      <c r="F108" s="5">
        <v>750</v>
      </c>
      <c r="G108" s="8">
        <v>0.12</v>
      </c>
      <c r="H108" s="5">
        <f t="shared" si="3"/>
        <v>660</v>
      </c>
    </row>
    <row r="109" spans="1:8" ht="19.95" customHeight="1">
      <c r="A109" s="9">
        <v>108</v>
      </c>
      <c r="B109" s="2" t="s">
        <v>11</v>
      </c>
      <c r="C109" s="2"/>
      <c r="D109" s="2" t="s">
        <v>232</v>
      </c>
      <c r="E109" s="2" t="s">
        <v>233</v>
      </c>
      <c r="F109" s="3">
        <v>480</v>
      </c>
      <c r="G109" s="10">
        <v>0.1</v>
      </c>
      <c r="H109" s="3">
        <f t="shared" si="3"/>
        <v>432</v>
      </c>
    </row>
    <row r="110" spans="1:8" ht="19.95" customHeight="1">
      <c r="A110" s="7">
        <v>109</v>
      </c>
      <c r="B110" s="4" t="s">
        <v>11</v>
      </c>
      <c r="C110" s="4"/>
      <c r="D110" s="4" t="s">
        <v>234</v>
      </c>
      <c r="E110" s="4" t="s">
        <v>235</v>
      </c>
      <c r="F110" s="5">
        <v>1600</v>
      </c>
      <c r="G110" s="8">
        <v>0.15</v>
      </c>
      <c r="H110" s="5">
        <f t="shared" si="3"/>
        <v>1360</v>
      </c>
    </row>
    <row r="111" spans="1:8" ht="19.95" customHeight="1">
      <c r="A111" s="9">
        <v>110</v>
      </c>
      <c r="B111" s="2" t="s">
        <v>11</v>
      </c>
      <c r="C111" s="2" t="s">
        <v>64</v>
      </c>
      <c r="D111" s="2" t="s">
        <v>236</v>
      </c>
      <c r="E111" s="2" t="s">
        <v>237</v>
      </c>
      <c r="F111" s="3">
        <v>13500</v>
      </c>
      <c r="G111" s="10">
        <v>0.25</v>
      </c>
      <c r="H111" s="3">
        <f t="shared" si="3"/>
        <v>10125</v>
      </c>
    </row>
    <row r="112" spans="1:8" ht="19.95" customHeight="1">
      <c r="A112" s="7">
        <v>111</v>
      </c>
      <c r="B112" s="4" t="s">
        <v>12</v>
      </c>
      <c r="C112" s="4"/>
      <c r="D112" s="4" t="s">
        <v>238</v>
      </c>
      <c r="E112" s="4" t="s">
        <v>239</v>
      </c>
      <c r="F112" s="5">
        <v>380</v>
      </c>
      <c r="G112" s="8">
        <v>0.12</v>
      </c>
      <c r="H112" s="5">
        <f t="shared" si="3"/>
        <v>334.4</v>
      </c>
    </row>
    <row r="113" spans="1:8" ht="19.95" customHeight="1">
      <c r="A113" s="9">
        <v>112</v>
      </c>
      <c r="B113" s="2" t="s">
        <v>12</v>
      </c>
      <c r="C113" s="2" t="s">
        <v>29</v>
      </c>
      <c r="D113" s="2" t="s">
        <v>240</v>
      </c>
      <c r="E113" s="2" t="s">
        <v>241</v>
      </c>
      <c r="F113" s="3">
        <v>580</v>
      </c>
      <c r="G113" s="10">
        <v>0.12</v>
      </c>
      <c r="H113" s="3">
        <f t="shared" si="3"/>
        <v>510.4</v>
      </c>
    </row>
    <row r="114" spans="1:8" ht="19.95" customHeight="1">
      <c r="A114" s="7">
        <v>113</v>
      </c>
      <c r="B114" s="4" t="s">
        <v>12</v>
      </c>
      <c r="C114" s="4" t="s">
        <v>44</v>
      </c>
      <c r="D114" s="4" t="s">
        <v>242</v>
      </c>
      <c r="E114" s="4" t="s">
        <v>243</v>
      </c>
      <c r="F114" s="5">
        <v>820</v>
      </c>
      <c r="G114" s="8">
        <v>0.15</v>
      </c>
      <c r="H114" s="5">
        <f t="shared" si="3"/>
        <v>697</v>
      </c>
    </row>
    <row r="115" spans="1:8" ht="19.95" customHeight="1">
      <c r="A115" s="9">
        <v>114</v>
      </c>
      <c r="B115" s="2" t="s">
        <v>12</v>
      </c>
      <c r="C115" s="2" t="s">
        <v>24</v>
      </c>
      <c r="D115" s="2" t="s">
        <v>244</v>
      </c>
      <c r="E115" s="2" t="s">
        <v>245</v>
      </c>
      <c r="F115" s="3">
        <v>950</v>
      </c>
      <c r="G115" s="10">
        <v>0.15</v>
      </c>
      <c r="H115" s="3">
        <f t="shared" si="3"/>
        <v>807.5</v>
      </c>
    </row>
    <row r="116" spans="1:8" ht="19.95" customHeight="1">
      <c r="A116" s="7">
        <v>115</v>
      </c>
      <c r="B116" s="4" t="s">
        <v>12</v>
      </c>
      <c r="C116" s="4"/>
      <c r="D116" s="4" t="s">
        <v>246</v>
      </c>
      <c r="E116" s="4" t="s">
        <v>247</v>
      </c>
      <c r="F116" s="5">
        <v>1200</v>
      </c>
      <c r="G116" s="8">
        <v>0.18</v>
      </c>
      <c r="H116" s="5">
        <f t="shared" si="3"/>
        <v>984.00000000000011</v>
      </c>
    </row>
    <row r="117" spans="1:8" ht="19.95" customHeight="1">
      <c r="A117" s="9">
        <v>116</v>
      </c>
      <c r="B117" s="2" t="s">
        <v>12</v>
      </c>
      <c r="C117" s="2"/>
      <c r="D117" s="2" t="s">
        <v>248</v>
      </c>
      <c r="E117" s="2" t="s">
        <v>249</v>
      </c>
      <c r="F117" s="3">
        <v>680</v>
      </c>
      <c r="G117" s="10">
        <v>0.12</v>
      </c>
      <c r="H117" s="3">
        <f t="shared" si="3"/>
        <v>598.4</v>
      </c>
    </row>
    <row r="118" spans="1:8" ht="19.95" customHeight="1">
      <c r="A118" s="7">
        <v>117</v>
      </c>
      <c r="B118" s="4" t="s">
        <v>12</v>
      </c>
      <c r="C118" s="4"/>
      <c r="D118" s="4" t="s">
        <v>250</v>
      </c>
      <c r="E118" s="4" t="s">
        <v>251</v>
      </c>
      <c r="F118" s="5">
        <v>890</v>
      </c>
      <c r="G118" s="8">
        <v>0.15</v>
      </c>
      <c r="H118" s="5">
        <f t="shared" si="3"/>
        <v>756.5</v>
      </c>
    </row>
    <row r="119" spans="1:8" ht="19.95" customHeight="1">
      <c r="A119" s="9">
        <v>118</v>
      </c>
      <c r="B119" s="2" t="s">
        <v>12</v>
      </c>
      <c r="C119" s="2"/>
      <c r="D119" s="2" t="s">
        <v>252</v>
      </c>
      <c r="E119" s="2" t="s">
        <v>253</v>
      </c>
      <c r="F119" s="3">
        <v>1400</v>
      </c>
      <c r="G119" s="10">
        <v>0.18</v>
      </c>
      <c r="H119" s="3">
        <f t="shared" si="3"/>
        <v>1148</v>
      </c>
    </row>
    <row r="120" spans="1:8" ht="19.95" customHeight="1">
      <c r="A120" s="7">
        <v>119</v>
      </c>
      <c r="B120" s="4" t="s">
        <v>12</v>
      </c>
      <c r="C120" s="4"/>
      <c r="D120" s="4" t="s">
        <v>254</v>
      </c>
      <c r="E120" s="4" t="s">
        <v>255</v>
      </c>
      <c r="F120" s="5">
        <v>1750</v>
      </c>
      <c r="G120" s="8">
        <v>0.2</v>
      </c>
      <c r="H120" s="5">
        <f t="shared" si="3"/>
        <v>1400</v>
      </c>
    </row>
    <row r="121" spans="1:8" ht="19.95" customHeight="1">
      <c r="A121" s="9">
        <v>120</v>
      </c>
      <c r="B121" s="2" t="s">
        <v>12</v>
      </c>
      <c r="C121" s="2" t="s">
        <v>32</v>
      </c>
      <c r="D121" s="2" t="s">
        <v>256</v>
      </c>
      <c r="E121" s="2" t="s">
        <v>257</v>
      </c>
      <c r="F121" s="3">
        <v>2400</v>
      </c>
      <c r="G121" s="10">
        <v>0.2</v>
      </c>
      <c r="H121" s="3">
        <f t="shared" si="3"/>
        <v>1920</v>
      </c>
    </row>
    <row r="122" spans="1:8" ht="19.95" customHeight="1">
      <c r="A122" s="7">
        <v>121</v>
      </c>
      <c r="B122" s="4" t="s">
        <v>13</v>
      </c>
      <c r="C122" s="4" t="s">
        <v>29</v>
      </c>
      <c r="D122" s="4" t="s">
        <v>258</v>
      </c>
      <c r="E122" s="4" t="s">
        <v>259</v>
      </c>
      <c r="F122" s="5">
        <v>3200</v>
      </c>
      <c r="G122" s="8">
        <v>0.15</v>
      </c>
      <c r="H122" s="5">
        <f t="shared" si="3"/>
        <v>2720</v>
      </c>
    </row>
    <row r="123" spans="1:8" ht="19.95" customHeight="1">
      <c r="A123" s="9">
        <v>122</v>
      </c>
      <c r="B123" s="2" t="s">
        <v>13</v>
      </c>
      <c r="C123" s="2" t="s">
        <v>44</v>
      </c>
      <c r="D123" s="2" t="s">
        <v>260</v>
      </c>
      <c r="E123" s="2" t="s">
        <v>261</v>
      </c>
      <c r="F123" s="3">
        <v>8500</v>
      </c>
      <c r="G123" s="10">
        <v>0.2</v>
      </c>
      <c r="H123" s="3">
        <f t="shared" si="3"/>
        <v>6800</v>
      </c>
    </row>
    <row r="124" spans="1:8" ht="19.95" customHeight="1">
      <c r="A124" s="7">
        <v>123</v>
      </c>
      <c r="B124" s="4" t="s">
        <v>13</v>
      </c>
      <c r="C124" s="4" t="s">
        <v>24</v>
      </c>
      <c r="D124" s="4" t="s">
        <v>262</v>
      </c>
      <c r="E124" s="4" t="s">
        <v>263</v>
      </c>
      <c r="F124" s="5">
        <v>4200</v>
      </c>
      <c r="G124" s="8">
        <v>0.15</v>
      </c>
      <c r="H124" s="5">
        <f t="shared" si="3"/>
        <v>3570</v>
      </c>
    </row>
    <row r="125" spans="1:8" ht="19.95" customHeight="1">
      <c r="A125" s="9">
        <v>124</v>
      </c>
      <c r="B125" s="2" t="s">
        <v>13</v>
      </c>
      <c r="C125" s="2"/>
      <c r="D125" s="2" t="s">
        <v>264</v>
      </c>
      <c r="E125" s="2" t="s">
        <v>265</v>
      </c>
      <c r="F125" s="3">
        <v>2200</v>
      </c>
      <c r="G125" s="10">
        <v>0.12</v>
      </c>
      <c r="H125" s="3">
        <f t="shared" si="3"/>
        <v>1936</v>
      </c>
    </row>
    <row r="126" spans="1:8" ht="19.95" customHeight="1">
      <c r="A126" s="7">
        <v>125</v>
      </c>
      <c r="B126" s="4" t="s">
        <v>13</v>
      </c>
      <c r="C126" s="4"/>
      <c r="D126" s="4" t="s">
        <v>266</v>
      </c>
      <c r="E126" s="4" t="s">
        <v>267</v>
      </c>
      <c r="F126" s="5">
        <v>5500</v>
      </c>
      <c r="G126" s="8">
        <v>0.18</v>
      </c>
      <c r="H126" s="5">
        <f t="shared" si="3"/>
        <v>4510</v>
      </c>
    </row>
    <row r="127" spans="1:8" ht="19.95" customHeight="1">
      <c r="A127" s="9">
        <v>126</v>
      </c>
      <c r="B127" s="2" t="s">
        <v>13</v>
      </c>
      <c r="C127" s="2" t="s">
        <v>64</v>
      </c>
      <c r="D127" s="2" t="s">
        <v>268</v>
      </c>
      <c r="E127" s="2" t="s">
        <v>269</v>
      </c>
      <c r="F127" s="3">
        <v>12000</v>
      </c>
      <c r="G127" s="10">
        <v>0.25</v>
      </c>
      <c r="H127" s="3">
        <f t="shared" si="3"/>
        <v>9000</v>
      </c>
    </row>
    <row r="128" spans="1:8" ht="19.95" customHeight="1">
      <c r="A128" s="7">
        <v>127</v>
      </c>
      <c r="B128" s="4" t="s">
        <v>13</v>
      </c>
      <c r="C128" s="4"/>
      <c r="D128" s="4" t="s">
        <v>270</v>
      </c>
      <c r="E128" s="4" t="s">
        <v>271</v>
      </c>
      <c r="F128" s="5">
        <v>6800</v>
      </c>
      <c r="G128" s="8">
        <v>0.2</v>
      </c>
      <c r="H128" s="5">
        <f t="shared" si="3"/>
        <v>5440</v>
      </c>
    </row>
    <row r="129" spans="1:8" ht="19.95" customHeight="1">
      <c r="A129" s="9">
        <v>128</v>
      </c>
      <c r="B129" s="2" t="s">
        <v>13</v>
      </c>
      <c r="C129" s="2"/>
      <c r="D129" s="2" t="s">
        <v>272</v>
      </c>
      <c r="E129" s="2" t="s">
        <v>273</v>
      </c>
      <c r="F129" s="3">
        <v>4900</v>
      </c>
      <c r="G129" s="10">
        <v>0.18</v>
      </c>
      <c r="H129" s="3">
        <f t="shared" si="3"/>
        <v>4018.0000000000005</v>
      </c>
    </row>
    <row r="130" spans="1:8" ht="19.95" customHeight="1">
      <c r="A130" s="7">
        <v>129</v>
      </c>
      <c r="B130" s="4" t="s">
        <v>13</v>
      </c>
      <c r="C130" s="4"/>
      <c r="D130" s="4" t="s">
        <v>274</v>
      </c>
      <c r="E130" s="4" t="s">
        <v>275</v>
      </c>
      <c r="F130" s="5">
        <v>15000</v>
      </c>
      <c r="G130" s="8">
        <v>0.25</v>
      </c>
      <c r="H130" s="5">
        <f t="shared" ref="H130:H161" si="4">F130*(1-G130)</f>
        <v>11250</v>
      </c>
    </row>
    <row r="131" spans="1:8" ht="19.95" customHeight="1">
      <c r="A131" s="9">
        <v>130</v>
      </c>
      <c r="B131" s="2" t="s">
        <v>13</v>
      </c>
      <c r="C131" s="2" t="s">
        <v>32</v>
      </c>
      <c r="D131" s="2" t="s">
        <v>276</v>
      </c>
      <c r="E131" s="2" t="s">
        <v>277</v>
      </c>
      <c r="F131" s="3">
        <v>22000</v>
      </c>
      <c r="G131" s="10">
        <v>0.3</v>
      </c>
      <c r="H131" s="3">
        <f t="shared" si="4"/>
        <v>15399.999999999998</v>
      </c>
    </row>
    <row r="132" spans="1:8" ht="24" customHeight="1">
      <c r="A132" s="11"/>
      <c r="B132" s="12" t="s">
        <v>278</v>
      </c>
      <c r="C132" s="11"/>
      <c r="D132" s="12" t="str">
        <f>COUNTA(D2:D131)&amp;" Items"</f>
        <v>130 Items</v>
      </c>
      <c r="E132" s="11"/>
      <c r="F132" s="6">
        <f>SUM(F2:F131)</f>
        <v>228220</v>
      </c>
      <c r="G132" s="11"/>
      <c r="H132" s="6">
        <f>SUM(H2:H131)</f>
        <v>182685.1</v>
      </c>
    </row>
  </sheetData>
  <autoFilter ref="A1:H13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Crackers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2026-08-11T16:31:52Z</dcterms:created>
  <dcterms:modified xsi:type="dcterms:W3CDTF">2026-08-11T16:32:54Z</dcterms:modified>
</cp:coreProperties>
</file>